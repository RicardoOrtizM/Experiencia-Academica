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Cálculos" sheetId="2" r:id="rId5"/>
  </sheets>
  <definedNames/>
  <calcPr/>
</workbook>
</file>

<file path=xl/sharedStrings.xml><?xml version="1.0" encoding="utf-8"?>
<sst xmlns="http://schemas.openxmlformats.org/spreadsheetml/2006/main" count="108" uniqueCount="80">
  <si>
    <t>No</t>
  </si>
  <si>
    <t>X real</t>
  </si>
  <si>
    <t>Y real</t>
  </si>
  <si>
    <t>X real ^2</t>
  </si>
  <si>
    <t>x</t>
  </si>
  <si>
    <t>y</t>
  </si>
  <si>
    <t>xy</t>
  </si>
  <si>
    <t>x^2</t>
  </si>
  <si>
    <t>Y Est</t>
  </si>
  <si>
    <t>e</t>
  </si>
  <si>
    <t>e^2</t>
  </si>
  <si>
    <t>y^2</t>
  </si>
  <si>
    <t>INTERVALO VALOR MEDIO Y</t>
  </si>
  <si>
    <t>Límite Inferior</t>
  </si>
  <si>
    <t>Límite Superior</t>
  </si>
  <si>
    <t>INTERVALO VALOR PUNTUAL Y</t>
  </si>
  <si>
    <t>Límite Inferior 2</t>
  </si>
  <si>
    <t>Límite Superior 2</t>
  </si>
  <si>
    <t>Suma</t>
  </si>
  <si>
    <t>Promedio</t>
  </si>
  <si>
    <t xml:space="preserve"> n</t>
  </si>
  <si>
    <t>Realizado por: Ricardo Ortiz M.</t>
  </si>
  <si>
    <t>n-2</t>
  </si>
  <si>
    <t>VARIANZAS</t>
  </si>
  <si>
    <t>ERROR ESTÁNDAR</t>
  </si>
  <si>
    <t>INTERVALOS</t>
  </si>
  <si>
    <t xml:space="preserve"> </t>
  </si>
  <si>
    <t>Beta</t>
  </si>
  <si>
    <t>Ho: β=0 vs Ha β≠0</t>
  </si>
  <si>
    <t>EE Beta</t>
  </si>
  <si>
    <t>T calculada =</t>
  </si>
  <si>
    <t>% de confianza</t>
  </si>
  <si>
    <t>P value =</t>
  </si>
  <si>
    <t>t 95%, n-2 gl</t>
  </si>
  <si>
    <t>Alfa</t>
  </si>
  <si>
    <t>Ho: α=0 vs Ha α≠0</t>
  </si>
  <si>
    <t>EE Alfa</t>
  </si>
  <si>
    <t>Signo</t>
  </si>
  <si>
    <t>Decimales</t>
  </si>
  <si>
    <t>VARIANZA DEL ERROR</t>
  </si>
  <si>
    <t>Desv. Est.</t>
  </si>
  <si>
    <t>Ec de la Recta</t>
  </si>
  <si>
    <t>EE Error</t>
  </si>
  <si>
    <t>Ji cuad n-2 0.025</t>
  </si>
  <si>
    <t>Ji cuad n-2 0.975</t>
  </si>
  <si>
    <t>% de aceptación</t>
  </si>
  <si>
    <t>TABLA RESUMEN DE COEFICIENTES DEL MODELO</t>
  </si>
  <si>
    <t>Coeficiente</t>
  </si>
  <si>
    <t>Valor</t>
  </si>
  <si>
    <t>Error Est.</t>
  </si>
  <si>
    <t>T calculada</t>
  </si>
  <si>
    <t>Probabilidad Asociada</t>
  </si>
  <si>
    <t>Lim. Inf</t>
  </si>
  <si>
    <t>Lim Sup</t>
  </si>
  <si>
    <t>ALFA</t>
  </si>
  <si>
    <t>Alfa = 0</t>
  </si>
  <si>
    <t>BETA</t>
  </si>
  <si>
    <t>Beta = 0</t>
  </si>
  <si>
    <t>TABLA ANOVA EN REGRESIÓN</t>
  </si>
  <si>
    <t>Fuente de Variación</t>
  </si>
  <si>
    <t>Sumas de Cuadrados</t>
  </si>
  <si>
    <t>Grados de Libertad</t>
  </si>
  <si>
    <t>Cuadrados Medios</t>
  </si>
  <si>
    <t>Estadística F</t>
  </si>
  <si>
    <t>Regresión</t>
  </si>
  <si>
    <t>No Explicada</t>
  </si>
  <si>
    <t>Total</t>
  </si>
  <si>
    <t>COEFICIENTE DE DETERMINACIÓN</t>
  </si>
  <si>
    <t>COEF. DETERMINACIÓN</t>
  </si>
  <si>
    <t>COEF. CORRELACIÓN</t>
  </si>
  <si>
    <t>GRÁFICAS</t>
  </si>
  <si>
    <t>Intervalo de Confianza Valor Medio</t>
  </si>
  <si>
    <t>Intervalo de Confianza Valor Puntual</t>
  </si>
  <si>
    <t>Xo</t>
  </si>
  <si>
    <t>Y est</t>
  </si>
  <si>
    <t>A</t>
  </si>
  <si>
    <t>LimSup.</t>
  </si>
  <si>
    <t>B</t>
  </si>
  <si>
    <t>LimInf</t>
  </si>
  <si>
    <t>Lim. Sup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</si>
</sst>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"/>
  </numFmts>
  <fonts count="11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2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2" xfId="0" applyAlignment="1" applyFont="1" applyNumberForma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1" fillId="2" fontId="6" numFmtId="0" xfId="0" applyBorder="1" applyFill="1" applyFont="1"/>
    <xf borderId="1" fillId="2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3" fontId="5" numFmtId="164" xfId="0" applyAlignment="1" applyFont="1" applyNumberFormat="1">
      <alignment readingOrder="0" shrinkToFit="0" vertical="bottom" wrapText="0"/>
    </xf>
    <xf borderId="1" fillId="2" fontId="6" numFmtId="164" xfId="0" applyBorder="1" applyFont="1" applyNumberFormat="1"/>
    <xf borderId="0" fillId="0" fontId="6" numFmtId="0" xfId="0" applyAlignment="1" applyFont="1">
      <alignment readingOrder="0" shrinkToFit="0" vertical="bottom" wrapText="0"/>
    </xf>
    <xf borderId="0" fillId="0" fontId="5" numFmtId="164" xfId="0" applyFont="1" applyNumberFormat="1"/>
    <xf borderId="0" fillId="0" fontId="6" numFmtId="0" xfId="0" applyAlignment="1" applyFont="1">
      <alignment shrinkToFit="0" vertical="bottom" wrapText="0"/>
    </xf>
    <xf borderId="0" fillId="0" fontId="5" numFmtId="9" xfId="0" applyAlignment="1" applyFont="1" applyNumberFormat="1">
      <alignment readingOrder="0" shrinkToFit="0" vertical="bottom" wrapText="0"/>
    </xf>
    <xf borderId="0" fillId="0" fontId="5" numFmtId="11" xfId="0" applyFont="1" applyNumberForma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5" numFmtId="165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2" fillId="2" fontId="6" numFmtId="0" xfId="0" applyBorder="1" applyFont="1"/>
    <xf borderId="3" fillId="0" fontId="7" numFmtId="0" xfId="0" applyBorder="1" applyFont="1"/>
    <xf borderId="0" fillId="3" fontId="5" numFmtId="164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9" xfId="0" applyAlignment="1" applyFont="1" applyNumberFormat="1">
      <alignment readingOrder="0"/>
    </xf>
    <xf borderId="0" fillId="0" fontId="5" numFmtId="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horizontal="right" readingOrder="0" shrinkToFit="0" vertical="bottom" wrapText="0"/>
    </xf>
    <xf borderId="1" fillId="0" fontId="6" numFmtId="165" xfId="0" applyAlignment="1" applyBorder="1" applyFont="1" applyNumberFormat="1">
      <alignment readingOrder="0" shrinkToFit="0" vertical="bottom" wrapText="0"/>
    </xf>
    <xf borderId="1" fillId="0" fontId="6" numFmtId="11" xfId="0" applyAlignment="1" applyBorder="1" applyFont="1" applyNumberFormat="1">
      <alignment readingOrder="0" shrinkToFit="0" vertical="bottom" wrapText="0"/>
    </xf>
    <xf borderId="2" fillId="4" fontId="6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4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164" xfId="0" applyAlignment="1" applyBorder="1" applyFont="1" applyNumberFormat="1">
      <alignment readingOrder="0" shrinkToFit="0" vertical="bottom" wrapText="0"/>
    </xf>
    <xf borderId="1" fillId="0" fontId="8" numFmtId="11" xfId="0" applyAlignment="1" applyBorder="1" applyFont="1" applyNumberFormat="1">
      <alignment horizontal="right" readingOrder="0" shrinkToFit="0" vertical="bottom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164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8" numFmtId="4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4" fillId="0" fontId="7" numFmtId="0" xfId="0" applyBorder="1" applyFont="1"/>
    <xf borderId="0" fillId="0" fontId="9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10" numFmtId="164" xfId="0" applyAlignment="1" applyBorder="1" applyFont="1" applyNumberForma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álcul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álcul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álcul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álculos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Recta ajustada (Y real VS Y estimada)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Datos!$C$1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Datos!$B$2:$B$21</c:f>
            </c:numRef>
          </c:xVal>
          <c:yVal>
            <c:numRef>
              <c:f>Datos!$C$2:$C$21</c:f>
              <c:numCache/>
            </c:numRef>
          </c:yVal>
        </c:ser>
        <c:ser>
          <c:idx val="1"/>
          <c:order val="1"/>
          <c:tx>
            <c:strRef>
              <c:f>Datos!$I$1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Datos!$I$2:$I$21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447146"/>
        <c:axId val="1754441874"/>
      </c:scatterChart>
      <c:valAx>
        <c:axId val="124744714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441874"/>
      </c:valAx>
      <c:valAx>
        <c:axId val="1754441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4471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Intervalo de Confianza Valor Medio		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Datos!$C$1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Datos!$B$2:$B$21</c:f>
            </c:numRef>
          </c:xVal>
          <c:yVal>
            <c:numRef>
              <c:f>Datos!$C$2:$C$21</c:f>
              <c:numCache/>
            </c:numRef>
          </c:yVal>
        </c:ser>
        <c:ser>
          <c:idx val="1"/>
          <c:order val="1"/>
          <c:tx>
            <c:strRef>
              <c:f>Datos!$I$1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Datos!$I$2:$I$21</c:f>
              <c:numCache/>
            </c:numRef>
          </c:yVal>
        </c:ser>
        <c:ser>
          <c:idx val="2"/>
          <c:order val="2"/>
          <c:tx>
            <c:strRef>
              <c:f>Datos!$N$1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16"/>
            <c:marker>
              <c:symbol val="circle"/>
              <c:size val="2"/>
            </c:marker>
          </c:dPt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Datos!$N$2:$N$21</c:f>
              <c:numCache/>
            </c:numRef>
          </c:yVal>
        </c:ser>
        <c:ser>
          <c:idx val="3"/>
          <c:order val="3"/>
          <c:tx>
            <c:strRef>
              <c:f>Datos!$O$1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Datos!$O$2:$O$21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728705"/>
        <c:axId val="1310260228"/>
      </c:scatterChart>
      <c:valAx>
        <c:axId val="1076728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260228"/>
      </c:valAx>
      <c:valAx>
        <c:axId val="1310260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72870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Intervalo de Confianza Valor Puntual	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Datos!$C$1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Datos!$B$2:$B$21</c:f>
            </c:numRef>
          </c:xVal>
          <c:yVal>
            <c:numRef>
              <c:f>Datos!$C$2:$C$21</c:f>
              <c:numCache/>
            </c:numRef>
          </c:yVal>
        </c:ser>
        <c:ser>
          <c:idx val="1"/>
          <c:order val="1"/>
          <c:tx>
            <c:strRef>
              <c:f>Datos!$I$1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Datos!$I$2:$I$21</c:f>
              <c:numCache/>
            </c:numRef>
          </c:yVal>
        </c:ser>
        <c:ser>
          <c:idx val="2"/>
          <c:order val="2"/>
          <c:tx>
            <c:strRef>
              <c:f>Datos!$Q$1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16"/>
            <c:marker>
              <c:symbol val="circle"/>
              <c:size val="2"/>
            </c:marker>
          </c:dPt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Datos!$Q$2:$Q$21</c:f>
              <c:numCache/>
            </c:numRef>
          </c:yVal>
        </c:ser>
        <c:ser>
          <c:idx val="3"/>
          <c:order val="3"/>
          <c:tx>
            <c:strRef>
              <c:f>Datos!$R$1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Datos!$B$2:$B$21</c:f>
            </c:numRef>
          </c:xVal>
          <c:yVal>
            <c:numRef>
              <c:f>Datos!$R$2:$R$21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40948"/>
        <c:axId val="1101700321"/>
      </c:scatterChart>
      <c:valAx>
        <c:axId val="18598409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700321"/>
      </c:valAx>
      <c:valAx>
        <c:axId val="1101700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8409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13" Type="http://schemas.openxmlformats.org/officeDocument/2006/relationships/image" Target="../media/image6.png"/><Relationship Id="rId12" Type="http://schemas.openxmlformats.org/officeDocument/2006/relationships/image" Target="../media/image10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8.png"/><Relationship Id="rId9" Type="http://schemas.openxmlformats.org/officeDocument/2006/relationships/image" Target="../media/image7.png"/><Relationship Id="rId14" Type="http://schemas.openxmlformats.org/officeDocument/2006/relationships/image" Target="../media/image9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11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60</xdr:row>
      <xdr:rowOff>161925</xdr:rowOff>
    </xdr:from>
    <xdr:ext cx="5848350" cy="3619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61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942975</xdr:colOff>
      <xdr:row>61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</xdr:row>
      <xdr:rowOff>171450</xdr:rowOff>
    </xdr:from>
    <xdr:ext cx="1695450" cy="13716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104775</xdr:rowOff>
    </xdr:from>
    <xdr:ext cx="1895475" cy="390525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57150</xdr:rowOff>
    </xdr:from>
    <xdr:ext cx="1895475" cy="6953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</xdr:row>
      <xdr:rowOff>152400</xdr:rowOff>
    </xdr:from>
    <xdr:ext cx="1895475" cy="990600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15</xdr:row>
      <xdr:rowOff>123825</xdr:rowOff>
    </xdr:from>
    <xdr:ext cx="1895475" cy="1143000"/>
    <xdr:pic>
      <xdr:nvPicPr>
        <xdr:cNvPr id="0" name="image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27</xdr:row>
      <xdr:rowOff>228600</xdr:rowOff>
    </xdr:from>
    <xdr:ext cx="1562100" cy="60960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1209675</xdr:colOff>
      <xdr:row>8</xdr:row>
      <xdr:rowOff>200025</xdr:rowOff>
    </xdr:from>
    <xdr:ext cx="1257300" cy="1209675"/>
    <xdr:pic>
      <xdr:nvPicPr>
        <xdr:cNvPr id="0" name="image5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1209675</xdr:colOff>
      <xdr:row>15</xdr:row>
      <xdr:rowOff>200025</xdr:rowOff>
    </xdr:from>
    <xdr:ext cx="1257300" cy="990600"/>
    <xdr:pic>
      <xdr:nvPicPr>
        <xdr:cNvPr id="0" name="image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1019175</xdr:colOff>
      <xdr:row>40</xdr:row>
      <xdr:rowOff>238125</xdr:rowOff>
    </xdr:from>
    <xdr:ext cx="4143375" cy="1885950"/>
    <xdr:pic>
      <xdr:nvPicPr>
        <xdr:cNvPr id="0" name="image10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49</xdr:row>
      <xdr:rowOff>200025</xdr:rowOff>
    </xdr:from>
    <xdr:ext cx="1352550" cy="561975"/>
    <xdr:pic>
      <xdr:nvPicPr>
        <xdr:cNvPr id="0" name="image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1600200</xdr:colOff>
      <xdr:row>53</xdr:row>
      <xdr:rowOff>209550</xdr:rowOff>
    </xdr:from>
    <xdr:ext cx="1562100" cy="561975"/>
    <xdr:pic>
      <xdr:nvPicPr>
        <xdr:cNvPr id="0" name="image9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R21" displayName="DATOS" name="DATOS" id="1">
  <tableColumns count="18">
    <tableColumn name="No" id="1"/>
    <tableColumn name="X real" id="2"/>
    <tableColumn name="Y real" id="3"/>
    <tableColumn name="X real ^2" id="4"/>
    <tableColumn name="x" id="5"/>
    <tableColumn name="y" id="6"/>
    <tableColumn name="xy" id="7"/>
    <tableColumn name="x^2" id="8"/>
    <tableColumn name="Y Est" id="9"/>
    <tableColumn name="e" id="10"/>
    <tableColumn name="e^2" id="11"/>
    <tableColumn name="y^2" id="12"/>
    <tableColumn name="INTERVALO VALOR MEDIO Y" id="13"/>
    <tableColumn name="Límite Inferior" id="14"/>
    <tableColumn name="Límite Superior" id="15"/>
    <tableColumn name="INTERVALO VALOR PUNTUAL Y" id="16"/>
    <tableColumn name="Límite Inferior 2" id="17"/>
    <tableColumn name="Límite Superior 2" id="18"/>
  </tableColumns>
  <tableStyleInfo name="Datos-style" showColumnStripes="0" showFirstColumn="1" showLastColumn="1" showRowStripes="1"/>
</table>
</file>

<file path=xl/tables/table2.xml><?xml version="1.0" encoding="utf-8"?>
<table xmlns="http://schemas.openxmlformats.org/spreadsheetml/2006/main" ref="A1:R3" displayName="Suma_y_Promedio" name="Suma_y_Promedio" id="2">
  <tableColumns count="18">
    <tableColumn name="No" id="1"/>
    <tableColumn name="X real" id="2"/>
    <tableColumn name="Y real" id="3"/>
    <tableColumn name="X real ^2" id="4"/>
    <tableColumn name="x" id="5"/>
    <tableColumn name="y" id="6"/>
    <tableColumn name="xy" id="7"/>
    <tableColumn name="x^2" id="8"/>
    <tableColumn name="Y Est" id="9"/>
    <tableColumn name="e" id="10"/>
    <tableColumn name="e^2" id="11"/>
    <tableColumn name="y^2" id="12"/>
    <tableColumn name="INTERVALO VALOR MEDIO Y" id="13"/>
    <tableColumn name="Límite Inferior" id="14"/>
    <tableColumn name="Límite Superior" id="15"/>
    <tableColumn name="INTERVALO VALOR PUNTUAL Y" id="16"/>
    <tableColumn name="Límite Inferior 2" id="17"/>
    <tableColumn name="Límite Superior 2" id="18"/>
  </tableColumns>
  <tableStyleInfo name="Cálculos-style" showColumnStripes="0" showFirstColumn="1" showLastColumn="1" showRowStripes="1"/>
</table>
</file>

<file path=xl/tables/table3.xml><?xml version="1.0" encoding="utf-8"?>
<table xmlns="http://schemas.openxmlformats.org/spreadsheetml/2006/main" ref="A36:G38" displayName="Tabla_resumen" name="Tabla_resumen" id="3">
  <tableColumns count="7">
    <tableColumn name="Coeficiente" id="1"/>
    <tableColumn name="Valor" id="2"/>
    <tableColumn name="Error Est." id="3"/>
    <tableColumn name="T calculada" id="4"/>
    <tableColumn name="Probabilidad Asociada" id="5"/>
    <tableColumn name="Lim. Inf" id="6"/>
    <tableColumn name="Lim Sup" id="7"/>
  </tableColumns>
  <tableStyleInfo name="Cálculos-style 2" showColumnStripes="0" showFirstColumn="1" showLastColumn="1" showRowStripes="1"/>
</table>
</file>

<file path=xl/tables/table4.xml><?xml version="1.0" encoding="utf-8"?>
<table xmlns="http://schemas.openxmlformats.org/spreadsheetml/2006/main" ref="A43:F46" displayName="Tabla_ANOVA" name="Tabla_ANOVA" id="4">
  <tableColumns count="6">
    <tableColumn name="Fuente de Variación" id="1"/>
    <tableColumn name="Sumas de Cuadrados" id="2"/>
    <tableColumn name="Grados de Libertad" id="3"/>
    <tableColumn name="Cuadrados Medios" id="4"/>
    <tableColumn name="Estadística F" id="5"/>
    <tableColumn name="Probabilidad Asociada" id="6"/>
  </tableColumns>
  <tableStyleInfo name="Cálculos-style 3" showColumnStripes="0" showFirstColumn="1" showLastColumn="1" showRowStripes="1"/>
</table>
</file>

<file path=xl/tables/table5.xml><?xml version="1.0" encoding="utf-8"?>
<table xmlns="http://schemas.openxmlformats.org/spreadsheetml/2006/main" ref="A83:H86" displayName="PREDICCIÓN" name="PREDICCIÓN" id="5">
  <tableColumns count="8">
    <tableColumn name="Xo" id="1"/>
    <tableColumn name="Y est" id="2"/>
    <tableColumn name="A" id="3"/>
    <tableColumn name="Lim. Inf" id="4"/>
    <tableColumn name="LimSup." id="5"/>
    <tableColumn name="B" id="6"/>
    <tableColumn name="LimInf" id="7"/>
    <tableColumn name="Lim. Sup" id="8"/>
  </tableColumns>
  <tableStyleInfo name="Cálculo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  <col customWidth="1" min="13" max="13" width="33.25"/>
    <col customWidth="1" min="14" max="14" width="18.88"/>
    <col customWidth="1" min="15" max="15" width="20.13"/>
    <col customWidth="1" min="16" max="16" width="36.25"/>
    <col customWidth="1" min="17" max="17" width="20.5"/>
    <col customWidth="1" min="18" max="1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</row>
    <row r="2" ht="22.5" customHeight="1">
      <c r="A2" s="5">
        <f t="shared" ref="A2:A21" si="1">ROW(B2)-1</f>
        <v>1</v>
      </c>
      <c r="B2" s="6">
        <v>269.0</v>
      </c>
      <c r="C2" s="6">
        <v>393.0</v>
      </c>
      <c r="D2" s="5">
        <f t="shared" ref="D2:D21" si="2">B2*B2</f>
        <v>72361</v>
      </c>
      <c r="E2" s="7">
        <f>B2-'Cálculos'!$B$3</f>
        <v>56.4</v>
      </c>
      <c r="F2" s="7">
        <f>C2-'Cálculos'!$C$3</f>
        <v>48.15</v>
      </c>
      <c r="G2" s="7">
        <f t="shared" ref="G2:G21" si="3">E2*F2</f>
        <v>2715.66</v>
      </c>
      <c r="H2" s="7">
        <f t="shared" ref="H2:H21" si="4">E2*E2</f>
        <v>3180.96</v>
      </c>
      <c r="I2" s="8">
        <f>'Cálculos'!$C$19+('Cálculos'!$C$12*B2)</f>
        <v>422.4949373</v>
      </c>
      <c r="J2" s="8">
        <f t="shared" ref="J2:J21" si="5">C2-I2</f>
        <v>-29.49493727</v>
      </c>
      <c r="K2" s="8">
        <f t="shared" ref="K2:K21" si="6">J2*J2</f>
        <v>869.9513243</v>
      </c>
      <c r="L2" s="5">
        <f t="shared" ref="L2:L21" si="7">F2*F2</f>
        <v>2318.4225</v>
      </c>
      <c r="M2" s="8">
        <f>'Cálculos'!$M$15*'Cálculos'!$J$27*SQRT((1/'Cálculos'!$B$5)+(POWER(B2-'Cálculos'!$B$3,2)/'Cálculos'!$H$2))</f>
        <v>17.28948549</v>
      </c>
      <c r="N2" s="8">
        <f t="shared" ref="N2:N21" si="8">I2-M2</f>
        <v>405.2054518</v>
      </c>
      <c r="O2" s="8">
        <f t="shared" ref="O2:O21" si="9">I2+M2</f>
        <v>439.7844228</v>
      </c>
      <c r="P2" s="8">
        <f>'Cálculos'!$M$15*'Cálculos'!$J$27*SQRT(1+(1/'Cálculos'!$B$5)+(POWER(B2-'Cálculos'!$B$3,2)/'Cálculos'!$H$2))</f>
        <v>54.25469857</v>
      </c>
      <c r="Q2" s="8">
        <f t="shared" ref="Q2:Q21" si="10">I2-P2</f>
        <v>368.2402387</v>
      </c>
      <c r="R2" s="8">
        <f t="shared" ref="R2:R21" si="11">I2+P2</f>
        <v>476.7496358</v>
      </c>
    </row>
    <row r="3" ht="22.5" customHeight="1">
      <c r="A3" s="5">
        <f t="shared" si="1"/>
        <v>2</v>
      </c>
      <c r="B3" s="6">
        <v>225.0</v>
      </c>
      <c r="C3" s="6">
        <v>370.0</v>
      </c>
      <c r="D3" s="5">
        <f t="shared" si="2"/>
        <v>50625</v>
      </c>
      <c r="E3" s="7">
        <f>B3-'Cálculos'!$B$3</f>
        <v>12.4</v>
      </c>
      <c r="F3" s="7">
        <f>C3-'Cálculos'!$C$3</f>
        <v>25.15</v>
      </c>
      <c r="G3" s="7">
        <f t="shared" si="3"/>
        <v>311.86</v>
      </c>
      <c r="H3" s="7">
        <f t="shared" si="4"/>
        <v>153.76</v>
      </c>
      <c r="I3" s="8">
        <f>'Cálculos'!$C$19+('Cálculos'!$C$12*B3)</f>
        <v>361.9208727</v>
      </c>
      <c r="J3" s="8">
        <f t="shared" si="5"/>
        <v>8.079127268</v>
      </c>
      <c r="K3" s="8">
        <f t="shared" si="6"/>
        <v>65.27229741</v>
      </c>
      <c r="L3" s="5">
        <f t="shared" si="7"/>
        <v>632.5225</v>
      </c>
      <c r="M3" s="8">
        <f>'Cálculos'!$M$15*'Cálculos'!$J$27*SQRT((1/'Cálculos'!$B$5)+(POWER(B3-'Cálculos'!$B$3,2)/'Cálculos'!$H$2))</f>
        <v>11.84440333</v>
      </c>
      <c r="N3" s="8">
        <f t="shared" si="8"/>
        <v>350.0764694</v>
      </c>
      <c r="O3" s="8">
        <f t="shared" si="9"/>
        <v>373.7652761</v>
      </c>
      <c r="P3" s="8">
        <f>'Cálculos'!$M$15*'Cálculos'!$J$27*SQRT(1+(1/'Cálculos'!$B$5)+(POWER(B3-'Cálculos'!$B$3,2)/'Cálculos'!$H$2))</f>
        <v>52.77249188</v>
      </c>
      <c r="Q3" s="8">
        <f t="shared" si="10"/>
        <v>309.1483809</v>
      </c>
      <c r="R3" s="8">
        <f t="shared" si="11"/>
        <v>414.6933646</v>
      </c>
    </row>
    <row r="4" ht="22.5" customHeight="1">
      <c r="A4" s="5">
        <f t="shared" si="1"/>
        <v>3</v>
      </c>
      <c r="B4" s="6">
        <v>167.0</v>
      </c>
      <c r="C4" s="6">
        <v>322.0</v>
      </c>
      <c r="D4" s="5">
        <f t="shared" si="2"/>
        <v>27889</v>
      </c>
      <c r="E4" s="7">
        <f>B4-'Cálculos'!$B$3</f>
        <v>-45.6</v>
      </c>
      <c r="F4" s="7">
        <f>C4-'Cálculos'!$C$3</f>
        <v>-22.85</v>
      </c>
      <c r="G4" s="7">
        <f t="shared" si="3"/>
        <v>1041.96</v>
      </c>
      <c r="H4" s="7">
        <f t="shared" si="4"/>
        <v>2079.36</v>
      </c>
      <c r="I4" s="8">
        <f>'Cálculos'!$C$19+('Cálculos'!$C$12*B4)</f>
        <v>282.0732422</v>
      </c>
      <c r="J4" s="8">
        <f t="shared" si="5"/>
        <v>39.92675779</v>
      </c>
      <c r="K4" s="8">
        <f t="shared" si="6"/>
        <v>1594.145988</v>
      </c>
      <c r="L4" s="5">
        <f t="shared" si="7"/>
        <v>522.1225</v>
      </c>
      <c r="M4" s="8">
        <f>'Cálculos'!$M$15*'Cálculos'!$J$27*SQRT((1/'Cálculos'!$B$5)+(POWER(B4-'Cálculos'!$B$3,2)/'Cálculos'!$H$2))</f>
        <v>15.53056391</v>
      </c>
      <c r="N4" s="8">
        <f t="shared" si="8"/>
        <v>266.5426783</v>
      </c>
      <c r="O4" s="8">
        <f t="shared" si="9"/>
        <v>297.6038061</v>
      </c>
      <c r="P4" s="8">
        <f>'Cálculos'!$M$15*'Cálculos'!$J$27*SQRT(1+(1/'Cálculos'!$B$5)+(POWER(B4-'Cálculos'!$B$3,2)/'Cálculos'!$H$2))</f>
        <v>53.72005607</v>
      </c>
      <c r="Q4" s="8">
        <f t="shared" si="10"/>
        <v>228.3531861</v>
      </c>
      <c r="R4" s="8">
        <f t="shared" si="11"/>
        <v>335.7932983</v>
      </c>
    </row>
    <row r="5" ht="22.5" customHeight="1">
      <c r="A5" s="5">
        <f t="shared" si="1"/>
        <v>4</v>
      </c>
      <c r="B5" s="6">
        <v>246.0</v>
      </c>
      <c r="C5" s="6">
        <v>402.0</v>
      </c>
      <c r="D5" s="5">
        <f t="shared" si="2"/>
        <v>60516</v>
      </c>
      <c r="E5" s="7">
        <f>B5-'Cálculos'!$B$3</f>
        <v>33.4</v>
      </c>
      <c r="F5" s="7">
        <f>C5-'Cálculos'!$C$3</f>
        <v>57.15</v>
      </c>
      <c r="G5" s="7">
        <f t="shared" si="3"/>
        <v>1908.81</v>
      </c>
      <c r="H5" s="7">
        <f t="shared" si="4"/>
        <v>1115.56</v>
      </c>
      <c r="I5" s="8">
        <f>'Cálculos'!$C$19+('Cálculos'!$C$12*B5)</f>
        <v>390.8312217</v>
      </c>
      <c r="J5" s="8">
        <f t="shared" si="5"/>
        <v>11.16877829</v>
      </c>
      <c r="K5" s="8">
        <f t="shared" si="6"/>
        <v>124.7416084</v>
      </c>
      <c r="L5" s="5">
        <f t="shared" si="7"/>
        <v>3266.1225</v>
      </c>
      <c r="M5" s="8">
        <f>'Cálculos'!$M$15*'Cálculos'!$J$27*SQRT((1/'Cálculos'!$B$5)+(POWER(B5-'Cálculos'!$B$3,2)/'Cálculos'!$H$2))</f>
        <v>13.80911833</v>
      </c>
      <c r="N5" s="8">
        <f t="shared" si="8"/>
        <v>377.0221034</v>
      </c>
      <c r="O5" s="8">
        <f t="shared" si="9"/>
        <v>404.64034</v>
      </c>
      <c r="P5" s="8">
        <f>'Cálculos'!$M$15*'Cálculos'!$J$27*SQRT(1+(1/'Cálculos'!$B$5)+(POWER(B5-'Cálculos'!$B$3,2)/'Cálculos'!$H$2))</f>
        <v>53.2478897</v>
      </c>
      <c r="Q5" s="8">
        <f t="shared" si="10"/>
        <v>337.583332</v>
      </c>
      <c r="R5" s="8">
        <f t="shared" si="11"/>
        <v>444.0791114</v>
      </c>
    </row>
    <row r="6" ht="22.5" customHeight="1">
      <c r="A6" s="5">
        <f t="shared" si="1"/>
        <v>5</v>
      </c>
      <c r="B6" s="6">
        <v>225.0</v>
      </c>
      <c r="C6" s="6">
        <v>369.0</v>
      </c>
      <c r="D6" s="5">
        <f t="shared" si="2"/>
        <v>50625</v>
      </c>
      <c r="E6" s="7">
        <f>B6-'Cálculos'!$B$3</f>
        <v>12.4</v>
      </c>
      <c r="F6" s="7">
        <f>C6-'Cálculos'!$C$3</f>
        <v>24.15</v>
      </c>
      <c r="G6" s="7">
        <f t="shared" si="3"/>
        <v>299.46</v>
      </c>
      <c r="H6" s="7">
        <f t="shared" si="4"/>
        <v>153.76</v>
      </c>
      <c r="I6" s="8">
        <f>'Cálculos'!$C$19+('Cálculos'!$C$12*B6)</f>
        <v>361.9208727</v>
      </c>
      <c r="J6" s="8">
        <f t="shared" si="5"/>
        <v>7.079127268</v>
      </c>
      <c r="K6" s="8">
        <f t="shared" si="6"/>
        <v>50.11404287</v>
      </c>
      <c r="L6" s="5">
        <f t="shared" si="7"/>
        <v>583.2225</v>
      </c>
      <c r="M6" s="8">
        <f>'Cálculos'!$M$15*'Cálculos'!$J$27*SQRT((1/'Cálculos'!$B$5)+(POWER(B6-'Cálculos'!$B$3,2)/'Cálculos'!$H$2))</f>
        <v>11.84440333</v>
      </c>
      <c r="N6" s="8">
        <f t="shared" si="8"/>
        <v>350.0764694</v>
      </c>
      <c r="O6" s="8">
        <f t="shared" si="9"/>
        <v>373.7652761</v>
      </c>
      <c r="P6" s="8">
        <f>'Cálculos'!$M$15*'Cálculos'!$J$27*SQRT(1+(1/'Cálculos'!$B$5)+(POWER(B6-'Cálculos'!$B$3,2)/'Cálculos'!$H$2))</f>
        <v>52.77249188</v>
      </c>
      <c r="Q6" s="8">
        <f t="shared" si="10"/>
        <v>309.1483809</v>
      </c>
      <c r="R6" s="8">
        <f t="shared" si="11"/>
        <v>414.6933646</v>
      </c>
    </row>
    <row r="7" ht="22.5" customHeight="1">
      <c r="A7" s="5">
        <f t="shared" si="1"/>
        <v>6</v>
      </c>
      <c r="B7" s="6">
        <v>264.0</v>
      </c>
      <c r="C7" s="6">
        <v>421.0</v>
      </c>
      <c r="D7" s="5">
        <f t="shared" si="2"/>
        <v>69696</v>
      </c>
      <c r="E7" s="7">
        <f>B7-'Cálculos'!$B$3</f>
        <v>51.4</v>
      </c>
      <c r="F7" s="7">
        <f>C7-'Cálculos'!$C$3</f>
        <v>76.15</v>
      </c>
      <c r="G7" s="7">
        <f t="shared" si="3"/>
        <v>3914.11</v>
      </c>
      <c r="H7" s="7">
        <f t="shared" si="4"/>
        <v>2641.96</v>
      </c>
      <c r="I7" s="8">
        <f>'Cálculos'!$C$19+('Cálculos'!$C$12*B7)</f>
        <v>415.6115208</v>
      </c>
      <c r="J7" s="8">
        <f t="shared" si="5"/>
        <v>5.388479159</v>
      </c>
      <c r="K7" s="8">
        <f t="shared" si="6"/>
        <v>29.03570764</v>
      </c>
      <c r="L7" s="5">
        <f t="shared" si="7"/>
        <v>5798.8225</v>
      </c>
      <c r="M7" s="8">
        <f>'Cálculos'!$M$15*'Cálculos'!$J$27*SQRT((1/'Cálculos'!$B$5)+(POWER(B7-'Cálculos'!$B$3,2)/'Cálculos'!$H$2))</f>
        <v>16.4523775</v>
      </c>
      <c r="N7" s="8">
        <f t="shared" si="8"/>
        <v>399.1591433</v>
      </c>
      <c r="O7" s="8">
        <f t="shared" si="9"/>
        <v>432.0638983</v>
      </c>
      <c r="P7" s="8">
        <f>'Cálculos'!$M$15*'Cálculos'!$J$27*SQRT(1+(1/'Cálculos'!$B$5)+(POWER(B7-'Cálculos'!$B$3,2)/'Cálculos'!$H$2))</f>
        <v>53.9937657</v>
      </c>
      <c r="Q7" s="8">
        <f t="shared" si="10"/>
        <v>361.6177551</v>
      </c>
      <c r="R7" s="8">
        <f t="shared" si="11"/>
        <v>469.6052865</v>
      </c>
    </row>
    <row r="8" ht="22.5" customHeight="1">
      <c r="A8" s="5">
        <f t="shared" si="1"/>
        <v>7</v>
      </c>
      <c r="B8" s="6">
        <v>188.0</v>
      </c>
      <c r="C8" s="6">
        <v>289.0</v>
      </c>
      <c r="D8" s="5">
        <f t="shared" si="2"/>
        <v>35344</v>
      </c>
      <c r="E8" s="7">
        <f>B8-'Cálculos'!$B$3</f>
        <v>-24.6</v>
      </c>
      <c r="F8" s="7">
        <f>C8-'Cálculos'!$C$3</f>
        <v>-55.85</v>
      </c>
      <c r="G8" s="7">
        <f t="shared" si="3"/>
        <v>1373.91</v>
      </c>
      <c r="H8" s="7">
        <f t="shared" si="4"/>
        <v>605.16</v>
      </c>
      <c r="I8" s="8">
        <f>'Cálculos'!$C$19+('Cálculos'!$C$12*B8)</f>
        <v>310.9835912</v>
      </c>
      <c r="J8" s="8">
        <f t="shared" si="5"/>
        <v>-21.98359119</v>
      </c>
      <c r="K8" s="8">
        <f t="shared" si="6"/>
        <v>483.2782817</v>
      </c>
      <c r="L8" s="5">
        <f t="shared" si="7"/>
        <v>3119.2225</v>
      </c>
      <c r="M8" s="8">
        <f>'Cálculos'!$M$15*'Cálculos'!$J$27*SQRT((1/'Cálculos'!$B$5)+(POWER(B8-'Cálculos'!$B$3,2)/'Cálculos'!$H$2))</f>
        <v>12.80409743</v>
      </c>
      <c r="N8" s="8">
        <f t="shared" si="8"/>
        <v>298.1794938</v>
      </c>
      <c r="O8" s="8">
        <f t="shared" si="9"/>
        <v>323.7876886</v>
      </c>
      <c r="P8" s="8">
        <f>'Cálculos'!$M$15*'Cálculos'!$J$27*SQRT(1+(1/'Cálculos'!$B$5)+(POWER(B8-'Cálculos'!$B$3,2)/'Cálculos'!$H$2))</f>
        <v>52.99614061</v>
      </c>
      <c r="Q8" s="8">
        <f t="shared" si="10"/>
        <v>257.9874506</v>
      </c>
      <c r="R8" s="8">
        <f t="shared" si="11"/>
        <v>363.9797318</v>
      </c>
    </row>
    <row r="9" ht="22.5" customHeight="1">
      <c r="A9" s="5">
        <f t="shared" si="1"/>
        <v>8</v>
      </c>
      <c r="B9" s="6">
        <v>245.0</v>
      </c>
      <c r="C9" s="6">
        <v>363.0</v>
      </c>
      <c r="D9" s="5">
        <f t="shared" si="2"/>
        <v>60025</v>
      </c>
      <c r="E9" s="7">
        <f>B9-'Cálculos'!$B$3</f>
        <v>32.4</v>
      </c>
      <c r="F9" s="7">
        <f>C9-'Cálculos'!$C$3</f>
        <v>18.15</v>
      </c>
      <c r="G9" s="7">
        <f t="shared" si="3"/>
        <v>588.06</v>
      </c>
      <c r="H9" s="7">
        <f t="shared" si="4"/>
        <v>1049.76</v>
      </c>
      <c r="I9" s="8">
        <f>'Cálculos'!$C$19+('Cálculos'!$C$12*B9)</f>
        <v>389.4545384</v>
      </c>
      <c r="J9" s="8">
        <f t="shared" si="5"/>
        <v>-26.45453843</v>
      </c>
      <c r="K9" s="8">
        <f t="shared" si="6"/>
        <v>699.8426035</v>
      </c>
      <c r="L9" s="5">
        <f t="shared" si="7"/>
        <v>329.4225</v>
      </c>
      <c r="M9" s="8">
        <f>'Cálculos'!$M$15*'Cálculos'!$J$27*SQRT((1/'Cálculos'!$B$5)+(POWER(B9-'Cálculos'!$B$3,2)/'Cálculos'!$H$2))</f>
        <v>13.68369785</v>
      </c>
      <c r="N9" s="8">
        <f t="shared" si="8"/>
        <v>375.7708406</v>
      </c>
      <c r="O9" s="8">
        <f t="shared" si="9"/>
        <v>403.1382363</v>
      </c>
      <c r="P9" s="8">
        <f>'Cálculos'!$M$15*'Cálculos'!$J$27*SQRT(1+(1/'Cálculos'!$B$5)+(POWER(B9-'Cálculos'!$B$3,2)/'Cálculos'!$H$2))</f>
        <v>53.21550146</v>
      </c>
      <c r="Q9" s="8">
        <f t="shared" si="10"/>
        <v>336.239037</v>
      </c>
      <c r="R9" s="8">
        <f t="shared" si="11"/>
        <v>442.6700399</v>
      </c>
    </row>
    <row r="10" ht="22.5" customHeight="1">
      <c r="A10" s="5">
        <f t="shared" si="1"/>
        <v>9</v>
      </c>
      <c r="B10" s="6">
        <v>144.0</v>
      </c>
      <c r="C10" s="6">
        <v>229.0</v>
      </c>
      <c r="D10" s="5">
        <f t="shared" si="2"/>
        <v>20736</v>
      </c>
      <c r="E10" s="7">
        <f>B10-'Cálculos'!$B$3</f>
        <v>-68.6</v>
      </c>
      <c r="F10" s="7">
        <f>C10-'Cálculos'!$C$3</f>
        <v>-115.85</v>
      </c>
      <c r="G10" s="7">
        <f t="shared" si="3"/>
        <v>7947.31</v>
      </c>
      <c r="H10" s="7">
        <f t="shared" si="4"/>
        <v>4705.96</v>
      </c>
      <c r="I10" s="8">
        <f>'Cálculos'!$C$19+('Cálculos'!$C$12*B10)</f>
        <v>250.4095267</v>
      </c>
      <c r="J10" s="8">
        <f t="shared" si="5"/>
        <v>-21.40952666</v>
      </c>
      <c r="K10" s="8">
        <f t="shared" si="6"/>
        <v>458.3678318</v>
      </c>
      <c r="L10" s="5">
        <f t="shared" si="7"/>
        <v>13421.2225</v>
      </c>
      <c r="M10" s="8">
        <f>'Cálculos'!$M$15*'Cálculos'!$J$27*SQRT((1/'Cálculos'!$B$5)+(POWER(B10-'Cálculos'!$B$3,2)/'Cálculos'!$H$2))</f>
        <v>19.46386189</v>
      </c>
      <c r="N10" s="8">
        <f t="shared" si="8"/>
        <v>230.9456648</v>
      </c>
      <c r="O10" s="8">
        <f t="shared" si="9"/>
        <v>269.8733885</v>
      </c>
      <c r="P10" s="8">
        <f>'Cálculos'!$M$15*'Cálculos'!$J$27*SQRT(1+(1/'Cálculos'!$B$5)+(POWER(B10-'Cálculos'!$B$3,2)/'Cálculos'!$H$2))</f>
        <v>54.98625218</v>
      </c>
      <c r="Q10" s="8">
        <f t="shared" si="10"/>
        <v>195.4232745</v>
      </c>
      <c r="R10" s="8">
        <f t="shared" si="11"/>
        <v>305.3957788</v>
      </c>
    </row>
    <row r="11" ht="22.5" customHeight="1">
      <c r="A11" s="5">
        <f t="shared" si="1"/>
        <v>10</v>
      </c>
      <c r="B11" s="6">
        <v>189.0</v>
      </c>
      <c r="C11" s="6">
        <v>311.0</v>
      </c>
      <c r="D11" s="5">
        <f t="shared" si="2"/>
        <v>35721</v>
      </c>
      <c r="E11" s="7">
        <f>B11-'Cálculos'!$B$3</f>
        <v>-23.6</v>
      </c>
      <c r="F11" s="7">
        <f>C11-'Cálculos'!$C$3</f>
        <v>-33.85</v>
      </c>
      <c r="G11" s="7">
        <f t="shared" si="3"/>
        <v>798.86</v>
      </c>
      <c r="H11" s="7">
        <f t="shared" si="4"/>
        <v>556.96</v>
      </c>
      <c r="I11" s="8">
        <f>'Cálculos'!$C$19+('Cálculos'!$C$12*B11)</f>
        <v>312.3602745</v>
      </c>
      <c r="J11" s="8">
        <f t="shared" si="5"/>
        <v>-1.360274477</v>
      </c>
      <c r="K11" s="8">
        <f t="shared" si="6"/>
        <v>1.850346654</v>
      </c>
      <c r="L11" s="5">
        <f t="shared" si="7"/>
        <v>1145.8225</v>
      </c>
      <c r="M11" s="8">
        <f>'Cálculos'!$M$15*'Cálculos'!$J$27*SQRT((1/'Cálculos'!$B$5)+(POWER(B11-'Cálculos'!$B$3,2)/'Cálculos'!$H$2))</f>
        <v>12.70507984</v>
      </c>
      <c r="N11" s="8">
        <f t="shared" si="8"/>
        <v>299.6551946</v>
      </c>
      <c r="O11" s="8">
        <f t="shared" si="9"/>
        <v>325.0653543</v>
      </c>
      <c r="P11" s="8">
        <f>'Cálculos'!$M$15*'Cálculos'!$J$27*SQRT(1+(1/'Cálculos'!$B$5)+(POWER(B11-'Cálculos'!$B$3,2)/'Cálculos'!$H$2))</f>
        <v>52.97230467</v>
      </c>
      <c r="Q11" s="8">
        <f t="shared" si="10"/>
        <v>259.3879698</v>
      </c>
      <c r="R11" s="8">
        <f t="shared" si="11"/>
        <v>365.3325792</v>
      </c>
    </row>
    <row r="12" ht="22.5" customHeight="1">
      <c r="A12" s="5">
        <f t="shared" si="1"/>
        <v>11</v>
      </c>
      <c r="B12" s="6">
        <v>107.0</v>
      </c>
      <c r="C12" s="6">
        <v>241.0</v>
      </c>
      <c r="D12" s="5">
        <f t="shared" si="2"/>
        <v>11449</v>
      </c>
      <c r="E12" s="7">
        <f>B12-'Cálculos'!$B$3</f>
        <v>-105.6</v>
      </c>
      <c r="F12" s="7">
        <f>C12-'Cálculos'!$C$3</f>
        <v>-103.85</v>
      </c>
      <c r="G12" s="7">
        <f t="shared" si="3"/>
        <v>10966.56</v>
      </c>
      <c r="H12" s="7">
        <f t="shared" si="4"/>
        <v>11151.36</v>
      </c>
      <c r="I12" s="8">
        <f>'Cálculos'!$C$19+('Cálculos'!$C$12*B12)</f>
        <v>199.4722451</v>
      </c>
      <c r="J12" s="8">
        <f t="shared" si="5"/>
        <v>41.52775488</v>
      </c>
      <c r="K12" s="8">
        <f t="shared" si="6"/>
        <v>1724.554425</v>
      </c>
      <c r="L12" s="5">
        <f t="shared" si="7"/>
        <v>10784.8225</v>
      </c>
      <c r="M12" s="8">
        <f>'Cálculos'!$M$15*'Cálculos'!$J$27*SQRT((1/'Cálculos'!$B$5)+(POWER(B12-'Cálculos'!$B$3,2)/'Cálculos'!$H$2))</f>
        <v>26.76947133</v>
      </c>
      <c r="N12" s="8">
        <f t="shared" si="8"/>
        <v>172.7027738</v>
      </c>
      <c r="O12" s="8">
        <f t="shared" si="9"/>
        <v>226.2417164</v>
      </c>
      <c r="P12" s="8">
        <f>'Cálculos'!$M$15*'Cálculos'!$J$27*SQRT(1+(1/'Cálculos'!$B$5)+(POWER(B12-'Cálculos'!$B$3,2)/'Cálculos'!$H$2))</f>
        <v>57.97629346</v>
      </c>
      <c r="Q12" s="8">
        <f t="shared" si="10"/>
        <v>141.4959517</v>
      </c>
      <c r="R12" s="8">
        <f t="shared" si="11"/>
        <v>257.4485386</v>
      </c>
    </row>
    <row r="13" ht="22.5" customHeight="1">
      <c r="A13" s="5">
        <f t="shared" si="1"/>
        <v>12</v>
      </c>
      <c r="B13" s="6">
        <v>254.0</v>
      </c>
      <c r="C13" s="6">
        <v>380.0</v>
      </c>
      <c r="D13" s="5">
        <f t="shared" si="2"/>
        <v>64516</v>
      </c>
      <c r="E13" s="7">
        <f>B13-'Cálculos'!$B$3</f>
        <v>41.4</v>
      </c>
      <c r="F13" s="7">
        <f>C13-'Cálculos'!$C$3</f>
        <v>35.15</v>
      </c>
      <c r="G13" s="7">
        <f t="shared" si="3"/>
        <v>1455.21</v>
      </c>
      <c r="H13" s="7">
        <f t="shared" si="4"/>
        <v>1713.96</v>
      </c>
      <c r="I13" s="8">
        <f>'Cálculos'!$C$19+('Cálculos'!$C$12*B13)</f>
        <v>401.844688</v>
      </c>
      <c r="J13" s="8">
        <f t="shared" si="5"/>
        <v>-21.84468799</v>
      </c>
      <c r="K13" s="8">
        <f t="shared" si="6"/>
        <v>477.1903935</v>
      </c>
      <c r="L13" s="5">
        <f t="shared" si="7"/>
        <v>1235.5225</v>
      </c>
      <c r="M13" s="8">
        <f>'Cálculos'!$M$15*'Cálculos'!$J$27*SQRT((1/'Cálculos'!$B$5)+(POWER(B13-'Cálculos'!$B$3,2)/'Cálculos'!$H$2))</f>
        <v>14.90134594</v>
      </c>
      <c r="N13" s="8">
        <f t="shared" si="8"/>
        <v>386.9433421</v>
      </c>
      <c r="O13" s="8">
        <f t="shared" si="9"/>
        <v>416.7460339</v>
      </c>
      <c r="P13" s="8">
        <f>'Cálculos'!$M$15*'Cálculos'!$J$27*SQRT(1+(1/'Cálculos'!$B$5)+(POWER(B13-'Cálculos'!$B$3,2)/'Cálculos'!$H$2))</f>
        <v>53.5415364</v>
      </c>
      <c r="Q13" s="8">
        <f t="shared" si="10"/>
        <v>348.3031516</v>
      </c>
      <c r="R13" s="8">
        <f t="shared" si="11"/>
        <v>455.3862244</v>
      </c>
    </row>
    <row r="14" ht="22.5" customHeight="1">
      <c r="A14" s="5">
        <f t="shared" si="1"/>
        <v>13</v>
      </c>
      <c r="B14" s="6">
        <v>304.0</v>
      </c>
      <c r="C14" s="6">
        <v>501.0</v>
      </c>
      <c r="D14" s="5">
        <f t="shared" si="2"/>
        <v>92416</v>
      </c>
      <c r="E14" s="7">
        <f>B14-'Cálculos'!$B$3</f>
        <v>91.4</v>
      </c>
      <c r="F14" s="7">
        <f>C14-'Cálculos'!$C$3</f>
        <v>156.15</v>
      </c>
      <c r="G14" s="7">
        <f t="shared" si="3"/>
        <v>14272.11</v>
      </c>
      <c r="H14" s="7">
        <f t="shared" si="4"/>
        <v>8353.96</v>
      </c>
      <c r="I14" s="8">
        <f>'Cálculos'!$C$19+('Cálculos'!$C$12*B14)</f>
        <v>470.6788522</v>
      </c>
      <c r="J14" s="8">
        <f t="shared" si="5"/>
        <v>30.32114776</v>
      </c>
      <c r="K14" s="8">
        <f t="shared" si="6"/>
        <v>919.3720018</v>
      </c>
      <c r="L14" s="5">
        <f t="shared" si="7"/>
        <v>24382.8225</v>
      </c>
      <c r="M14" s="8">
        <f>'Cálculos'!$M$15*'Cálculos'!$J$27*SQRT((1/'Cálculos'!$B$5)+(POWER(B14-'Cálculos'!$B$3,2)/'Cálculos'!$H$2))</f>
        <v>23.87489355</v>
      </c>
      <c r="N14" s="8">
        <f t="shared" si="8"/>
        <v>446.8039587</v>
      </c>
      <c r="O14" s="8">
        <f t="shared" si="9"/>
        <v>494.5537458</v>
      </c>
      <c r="P14" s="8">
        <f>'Cálculos'!$M$15*'Cálculos'!$J$27*SQRT(1+(1/'Cálculos'!$B$5)+(POWER(B14-'Cálculos'!$B$3,2)/'Cálculos'!$H$2))</f>
        <v>56.69794133</v>
      </c>
      <c r="Q14" s="8">
        <f t="shared" si="10"/>
        <v>413.9809109</v>
      </c>
      <c r="R14" s="8">
        <f t="shared" si="11"/>
        <v>527.3767936</v>
      </c>
    </row>
    <row r="15" ht="22.5" customHeight="1">
      <c r="A15" s="5">
        <f t="shared" si="1"/>
        <v>14</v>
      </c>
      <c r="B15" s="6">
        <v>126.0</v>
      </c>
      <c r="C15" s="6">
        <v>208.0</v>
      </c>
      <c r="D15" s="5">
        <f t="shared" si="2"/>
        <v>15876</v>
      </c>
      <c r="E15" s="7">
        <f>B15-'Cálculos'!$B$3</f>
        <v>-86.6</v>
      </c>
      <c r="F15" s="7">
        <f>C15-'Cálculos'!$C$3</f>
        <v>-136.85</v>
      </c>
      <c r="G15" s="7">
        <f t="shared" si="3"/>
        <v>11851.21</v>
      </c>
      <c r="H15" s="7">
        <f t="shared" si="4"/>
        <v>7499.56</v>
      </c>
      <c r="I15" s="8">
        <f>'Cálculos'!$C$19+('Cálculos'!$C$12*B15)</f>
        <v>225.6292275</v>
      </c>
      <c r="J15" s="8">
        <f t="shared" si="5"/>
        <v>-17.62922753</v>
      </c>
      <c r="K15" s="8">
        <f t="shared" si="6"/>
        <v>310.7896634</v>
      </c>
      <c r="L15" s="5">
        <f t="shared" si="7"/>
        <v>18727.9225</v>
      </c>
      <c r="M15" s="8">
        <f>'Cálculos'!$M$15*'Cálculos'!$J$27*SQRT((1/'Cálculos'!$B$5)+(POWER(B15-'Cálculos'!$B$3,2)/'Cálculos'!$H$2))</f>
        <v>22.91804613</v>
      </c>
      <c r="N15" s="8">
        <f t="shared" si="8"/>
        <v>202.7111814</v>
      </c>
      <c r="O15" s="8">
        <f t="shared" si="9"/>
        <v>248.5472737</v>
      </c>
      <c r="P15" s="8">
        <f>'Cálculos'!$M$15*'Cálculos'!$J$27*SQRT(1+(1/'Cálculos'!$B$5)+(POWER(B15-'Cálculos'!$B$3,2)/'Cálculos'!$H$2))</f>
        <v>56.30171265</v>
      </c>
      <c r="Q15" s="8">
        <f t="shared" si="10"/>
        <v>169.3275149</v>
      </c>
      <c r="R15" s="8">
        <f t="shared" si="11"/>
        <v>281.9309402</v>
      </c>
    </row>
    <row r="16" ht="22.5" customHeight="1">
      <c r="A16" s="5">
        <f t="shared" si="1"/>
        <v>15</v>
      </c>
      <c r="B16" s="6">
        <v>244.0</v>
      </c>
      <c r="C16" s="6">
        <v>398.0</v>
      </c>
      <c r="D16" s="5">
        <f t="shared" si="2"/>
        <v>59536</v>
      </c>
      <c r="E16" s="7">
        <f>B16-'Cálculos'!$B$3</f>
        <v>31.4</v>
      </c>
      <c r="F16" s="7">
        <f>C16-'Cálculos'!$C$3</f>
        <v>53.15</v>
      </c>
      <c r="G16" s="7">
        <f t="shared" si="3"/>
        <v>1668.91</v>
      </c>
      <c r="H16" s="7">
        <f t="shared" si="4"/>
        <v>985.96</v>
      </c>
      <c r="I16" s="8">
        <f>'Cálculos'!$C$19+('Cálculos'!$C$12*B16)</f>
        <v>388.0778551</v>
      </c>
      <c r="J16" s="8">
        <f t="shared" si="5"/>
        <v>9.922144856</v>
      </c>
      <c r="K16" s="8">
        <f t="shared" si="6"/>
        <v>98.44895854</v>
      </c>
      <c r="L16" s="5">
        <f t="shared" si="7"/>
        <v>2824.9225</v>
      </c>
      <c r="M16" s="8">
        <f>'Cálculos'!$M$15*'Cálculos'!$J$27*SQRT((1/'Cálculos'!$B$5)+(POWER(B16-'Cálculos'!$B$3,2)/'Cálculos'!$H$2))</f>
        <v>13.56098198</v>
      </c>
      <c r="N16" s="8">
        <f t="shared" si="8"/>
        <v>374.5168732</v>
      </c>
      <c r="O16" s="8">
        <f t="shared" si="9"/>
        <v>401.6388371</v>
      </c>
      <c r="P16" s="8">
        <f>'Cálculos'!$M$15*'Cálculos'!$J$27*SQRT(1+(1/'Cálculos'!$B$5)+(POWER(B16-'Cálculos'!$B$3,2)/'Cálculos'!$H$2))</f>
        <v>53.18407883</v>
      </c>
      <c r="Q16" s="8">
        <f t="shared" si="10"/>
        <v>334.8937763</v>
      </c>
      <c r="R16" s="8">
        <f t="shared" si="11"/>
        <v>441.261934</v>
      </c>
    </row>
    <row r="17" ht="22.5" customHeight="1">
      <c r="A17" s="5">
        <f t="shared" si="1"/>
        <v>16</v>
      </c>
      <c r="B17" s="6">
        <v>211.0</v>
      </c>
      <c r="C17" s="6">
        <v>335.0</v>
      </c>
      <c r="D17" s="5">
        <f t="shared" si="2"/>
        <v>44521</v>
      </c>
      <c r="E17" s="7">
        <f>B17-'Cálculos'!$B$3</f>
        <v>-1.6</v>
      </c>
      <c r="F17" s="7">
        <f>C17-'Cálculos'!$C$3</f>
        <v>-9.85</v>
      </c>
      <c r="G17" s="7">
        <f t="shared" si="3"/>
        <v>15.76</v>
      </c>
      <c r="H17" s="7">
        <f t="shared" si="4"/>
        <v>2.56</v>
      </c>
      <c r="I17" s="8">
        <f>'Cálculos'!$C$19+('Cálculos'!$C$12*B17)</f>
        <v>342.6473067</v>
      </c>
      <c r="J17" s="8">
        <f t="shared" si="5"/>
        <v>-7.647306744</v>
      </c>
      <c r="K17" s="8">
        <f t="shared" si="6"/>
        <v>58.48130044</v>
      </c>
      <c r="L17" s="5">
        <f t="shared" si="7"/>
        <v>97.0225</v>
      </c>
      <c r="M17" s="8">
        <f>'Cálculos'!$M$15*'Cálculos'!$J$27*SQRT((1/'Cálculos'!$B$5)+(POWER(B17-'Cálculos'!$B$3,2)/'Cálculos'!$H$2))</f>
        <v>11.5050621</v>
      </c>
      <c r="N17" s="8">
        <f t="shared" si="8"/>
        <v>331.1422446</v>
      </c>
      <c r="O17" s="8">
        <f t="shared" si="9"/>
        <v>354.1523688</v>
      </c>
      <c r="P17" s="8">
        <f>'Cálculos'!$M$15*'Cálculos'!$J$27*SQRT(1+(1/'Cálculos'!$B$5)+(POWER(B17-'Cálculos'!$B$3,2)/'Cálculos'!$H$2))</f>
        <v>52.69736675</v>
      </c>
      <c r="Q17" s="8">
        <f t="shared" si="10"/>
        <v>289.94994</v>
      </c>
      <c r="R17" s="8">
        <f t="shared" si="11"/>
        <v>395.3446735</v>
      </c>
    </row>
    <row r="18" ht="22.5" customHeight="1">
      <c r="A18" s="5">
        <f t="shared" si="1"/>
        <v>17</v>
      </c>
      <c r="B18" s="6">
        <v>159.0</v>
      </c>
      <c r="C18" s="6">
        <v>234.0</v>
      </c>
      <c r="D18" s="5">
        <f t="shared" si="2"/>
        <v>25281</v>
      </c>
      <c r="E18" s="7">
        <f>B18-'Cálculos'!$B$3</f>
        <v>-53.6</v>
      </c>
      <c r="F18" s="7">
        <f>C18-'Cálculos'!$C$3</f>
        <v>-110.85</v>
      </c>
      <c r="G18" s="7">
        <f t="shared" si="3"/>
        <v>5941.56</v>
      </c>
      <c r="H18" s="7">
        <f t="shared" si="4"/>
        <v>2872.96</v>
      </c>
      <c r="I18" s="8">
        <f>'Cálculos'!$C$19+('Cálculos'!$C$12*B18)</f>
        <v>271.0597759</v>
      </c>
      <c r="J18" s="8">
        <f t="shared" si="5"/>
        <v>-37.05977593</v>
      </c>
      <c r="K18" s="8">
        <f t="shared" si="6"/>
        <v>1373.426992</v>
      </c>
      <c r="L18" s="5">
        <f t="shared" si="7"/>
        <v>12287.7225</v>
      </c>
      <c r="M18" s="8">
        <f>'Cálculos'!$M$15*'Cálculos'!$J$27*SQRT((1/'Cálculos'!$B$5)+(POWER(B18-'Cálculos'!$B$3,2)/'Cálculos'!$H$2))</f>
        <v>16.81624141</v>
      </c>
      <c r="N18" s="8">
        <f t="shared" si="8"/>
        <v>254.2435345</v>
      </c>
      <c r="O18" s="8">
        <f t="shared" si="9"/>
        <v>287.8760173</v>
      </c>
      <c r="P18" s="8">
        <f>'Cálculos'!$M$15*'Cálculos'!$J$27*SQRT(1+(1/'Cálculos'!$B$5)+(POWER(B18-'Cálculos'!$B$3,2)/'Cálculos'!$H$2))</f>
        <v>54.10574816</v>
      </c>
      <c r="Q18" s="8">
        <f t="shared" si="10"/>
        <v>216.9540278</v>
      </c>
      <c r="R18" s="8">
        <f t="shared" si="11"/>
        <v>325.1655241</v>
      </c>
    </row>
    <row r="19" ht="22.5" customHeight="1">
      <c r="A19" s="5">
        <f t="shared" si="1"/>
        <v>18</v>
      </c>
      <c r="B19" s="6">
        <v>204.0</v>
      </c>
      <c r="C19" s="6">
        <v>350.0</v>
      </c>
      <c r="D19" s="5">
        <f t="shared" si="2"/>
        <v>41616</v>
      </c>
      <c r="E19" s="7">
        <f>B19-'Cálculos'!$B$3</f>
        <v>-8.6</v>
      </c>
      <c r="F19" s="7">
        <f>C19-'Cálculos'!$C$3</f>
        <v>5.15</v>
      </c>
      <c r="G19" s="7">
        <f t="shared" si="3"/>
        <v>-44.29</v>
      </c>
      <c r="H19" s="7">
        <f t="shared" si="4"/>
        <v>73.96</v>
      </c>
      <c r="I19" s="8">
        <f>'Cálculos'!$C$19+('Cálculos'!$C$12*B19)</f>
        <v>333.0105238</v>
      </c>
      <c r="J19" s="8">
        <f t="shared" si="5"/>
        <v>16.98947625</v>
      </c>
      <c r="K19" s="8">
        <f t="shared" si="6"/>
        <v>288.6423032</v>
      </c>
      <c r="L19" s="5">
        <f t="shared" si="7"/>
        <v>26.5225</v>
      </c>
      <c r="M19" s="8">
        <f>'Cálculos'!$M$15*'Cálculos'!$J$27*SQRT((1/'Cálculos'!$B$5)+(POWER(B19-'Cálculos'!$B$3,2)/'Cálculos'!$H$2))</f>
        <v>11.66653661</v>
      </c>
      <c r="N19" s="8">
        <f t="shared" si="8"/>
        <v>321.3439871</v>
      </c>
      <c r="O19" s="8">
        <f t="shared" si="9"/>
        <v>344.6770604</v>
      </c>
      <c r="P19" s="8">
        <f>'Cálculos'!$M$15*'Cálculos'!$J$27*SQRT(1+(1/'Cálculos'!$B$5)+(POWER(B19-'Cálculos'!$B$3,2)/'Cálculos'!$H$2))</f>
        <v>52.73285584</v>
      </c>
      <c r="Q19" s="8">
        <f t="shared" si="10"/>
        <v>280.2776679</v>
      </c>
      <c r="R19" s="8">
        <f t="shared" si="11"/>
        <v>385.7433796</v>
      </c>
    </row>
    <row r="20" ht="22.5" customHeight="1">
      <c r="A20" s="5">
        <f t="shared" si="1"/>
        <v>19</v>
      </c>
      <c r="B20" s="6">
        <v>238.0</v>
      </c>
      <c r="C20" s="6">
        <v>410.0</v>
      </c>
      <c r="D20" s="5">
        <f t="shared" si="2"/>
        <v>56644</v>
      </c>
      <c r="E20" s="7">
        <f>B20-'Cálculos'!$B$3</f>
        <v>25.4</v>
      </c>
      <c r="F20" s="7">
        <f>C20-'Cálculos'!$C$3</f>
        <v>65.15</v>
      </c>
      <c r="G20" s="7">
        <f t="shared" si="3"/>
        <v>1654.81</v>
      </c>
      <c r="H20" s="7">
        <f t="shared" si="4"/>
        <v>645.16</v>
      </c>
      <c r="I20" s="8">
        <f>'Cálculos'!$C$19+('Cálculos'!$C$12*B20)</f>
        <v>379.8177554</v>
      </c>
      <c r="J20" s="8">
        <f t="shared" si="5"/>
        <v>30.18224456</v>
      </c>
      <c r="K20" s="8">
        <f t="shared" si="6"/>
        <v>910.967887</v>
      </c>
      <c r="L20" s="5">
        <f t="shared" si="7"/>
        <v>4244.5225</v>
      </c>
      <c r="M20" s="8">
        <f>'Cálculos'!$M$15*'Cálculos'!$J$27*SQRT((1/'Cálculos'!$B$5)+(POWER(B20-'Cálculos'!$B$3,2)/'Cálculos'!$H$2))</f>
        <v>12.885692</v>
      </c>
      <c r="N20" s="8">
        <f t="shared" si="8"/>
        <v>366.9320634</v>
      </c>
      <c r="O20" s="8">
        <f t="shared" si="9"/>
        <v>392.7034474</v>
      </c>
      <c r="P20" s="8">
        <f>'Cálculos'!$M$15*'Cálculos'!$J$27*SQRT(1+(1/'Cálculos'!$B$5)+(POWER(B20-'Cálculos'!$B$3,2)/'Cálculos'!$H$2))</f>
        <v>53.01591334</v>
      </c>
      <c r="Q20" s="8">
        <f t="shared" si="10"/>
        <v>326.8018421</v>
      </c>
      <c r="R20" s="8">
        <f t="shared" si="11"/>
        <v>432.8336688</v>
      </c>
    </row>
    <row r="21" ht="22.5" customHeight="1">
      <c r="A21" s="5">
        <f t="shared" si="1"/>
        <v>20</v>
      </c>
      <c r="B21" s="6">
        <v>243.0</v>
      </c>
      <c r="C21" s="6">
        <v>371.0</v>
      </c>
      <c r="D21" s="5">
        <f t="shared" si="2"/>
        <v>59049</v>
      </c>
      <c r="E21" s="7">
        <f>B21-'Cálculos'!$B$3</f>
        <v>30.4</v>
      </c>
      <c r="F21" s="7">
        <f>C21-'Cálculos'!$C$3</f>
        <v>26.15</v>
      </c>
      <c r="G21" s="7">
        <f t="shared" si="3"/>
        <v>794.96</v>
      </c>
      <c r="H21" s="7">
        <f t="shared" si="4"/>
        <v>924.16</v>
      </c>
      <c r="I21" s="8">
        <f>'Cálculos'!$C$19+('Cálculos'!$C$12*B21)</f>
        <v>386.7011719</v>
      </c>
      <c r="J21" s="8">
        <f t="shared" si="5"/>
        <v>-15.70117186</v>
      </c>
      <c r="K21" s="8">
        <f t="shared" si="6"/>
        <v>246.5267978</v>
      </c>
      <c r="L21" s="5">
        <f t="shared" si="7"/>
        <v>683.8225</v>
      </c>
      <c r="M21" s="8">
        <f>'Cálculos'!$M$15*'Cálculos'!$J$27*SQRT((1/'Cálculos'!$B$5)+(POWER(B21-'Cálculos'!$B$3,2)/'Cálculos'!$H$2))</f>
        <v>13.44104478</v>
      </c>
      <c r="N21" s="8">
        <f t="shared" si="8"/>
        <v>373.2601271</v>
      </c>
      <c r="O21" s="8">
        <f t="shared" si="9"/>
        <v>400.1422166</v>
      </c>
      <c r="P21" s="8">
        <f>'Cálculos'!$M$15*'Cálculos'!$J$27*SQRT(1+(1/'Cálculos'!$B$5)+(POWER(B21-'Cálculos'!$B$3,2)/'Cálculos'!$H$2))</f>
        <v>53.15362352</v>
      </c>
      <c r="Q21" s="8">
        <f t="shared" si="10"/>
        <v>333.5475483</v>
      </c>
      <c r="R21" s="8">
        <f t="shared" si="11"/>
        <v>439.8547954</v>
      </c>
    </row>
  </sheetData>
  <dataValidations>
    <dataValidation type="custom" allowBlank="1" showDropDown="1" sqref="G2:H21 K2:K21 M2:M21 P2:P21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21.5"/>
    <col customWidth="1" min="3" max="3" width="19.38"/>
    <col customWidth="1" min="4" max="4" width="19.63"/>
    <col customWidth="1" min="5" max="5" width="27.0"/>
    <col customWidth="1" min="6" max="6" width="20.5"/>
    <col customWidth="1" min="7" max="7" width="13.38"/>
    <col customWidth="1" min="9" max="9" width="16.75"/>
    <col customWidth="1" min="12" max="12" width="15.63"/>
    <col customWidth="1" min="13" max="13" width="26.63"/>
    <col customWidth="1" min="14" max="14" width="15.88"/>
    <col customWidth="1" min="15" max="15" width="16.75"/>
    <col customWidth="1" min="16" max="16" width="28.88"/>
    <col customWidth="1" min="17" max="17" width="17.13"/>
    <col customWidth="1" min="18" max="18" width="18.13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ht="22.5" customHeight="1">
      <c r="A2" s="10" t="s">
        <v>18</v>
      </c>
      <c r="B2" s="11">
        <f>SUM(Datos!B:B)</f>
        <v>4252</v>
      </c>
      <c r="C2" s="11">
        <f>SUM(Datos!C:C)</f>
        <v>6897</v>
      </c>
      <c r="D2" s="11">
        <f>SUM(Datos!D:D)</f>
        <v>954442</v>
      </c>
      <c r="E2" s="11">
        <f>SUM(Datos!E:E)</f>
        <v>0</v>
      </c>
      <c r="F2" s="11">
        <f>SUM(Datos!F:F)</f>
        <v>0</v>
      </c>
      <c r="G2" s="11">
        <f>SUM(Datos!G:G)</f>
        <v>69476.8</v>
      </c>
      <c r="H2" s="11">
        <f>SUM(Datos!H:H)</f>
        <v>50466.8</v>
      </c>
      <c r="I2" s="11">
        <f>SUM(Datos!I:I)</f>
        <v>6897</v>
      </c>
      <c r="J2" s="11">
        <f>SUM(Datos!J:J)</f>
        <v>0</v>
      </c>
      <c r="K2" s="11">
        <f>SUM(Datos!K:K)</f>
        <v>10785.00075</v>
      </c>
      <c r="L2" s="11">
        <f>SUM(Datos!L:L)</f>
        <v>106432.55</v>
      </c>
      <c r="M2" s="11">
        <f>SUM(Datos!M:M)</f>
        <v>313.7664047</v>
      </c>
      <c r="N2" s="11">
        <f>SUM(Datos!N:N)</f>
        <v>6583.233595</v>
      </c>
      <c r="O2" s="11">
        <f>SUM(Datos!O:O)</f>
        <v>7210.766405</v>
      </c>
      <c r="P2" s="11">
        <f>SUM(Datos!P:P)</f>
        <v>1078.338663</v>
      </c>
      <c r="Q2" s="11">
        <f>SUM(Datos!Q:Q)</f>
        <v>5818.661337</v>
      </c>
      <c r="R2" s="11">
        <f>SUM(Datos!R:R)</f>
        <v>7975.338663</v>
      </c>
    </row>
    <row r="3" ht="22.5" customHeight="1">
      <c r="A3" s="10" t="s">
        <v>19</v>
      </c>
      <c r="B3" s="11">
        <f>AVERAGE(Datos!B:B)</f>
        <v>212.6</v>
      </c>
      <c r="C3" s="11">
        <f>AVERAGE(Datos!C:C)</f>
        <v>344.85</v>
      </c>
      <c r="D3" s="11">
        <f>AVERAGE(Datos!D:D)</f>
        <v>47722.1</v>
      </c>
      <c r="E3" s="11">
        <f>AVERAGE(Datos!E:E)</f>
        <v>0</v>
      </c>
      <c r="F3" s="11">
        <f>AVERAGE(Datos!F:F)</f>
        <v>0</v>
      </c>
      <c r="G3" s="11">
        <f>AVERAGE(Datos!G:G)</f>
        <v>3473.84</v>
      </c>
      <c r="H3" s="11">
        <f>AVERAGE(Datos!H:H)</f>
        <v>2523.34</v>
      </c>
      <c r="I3" s="11">
        <f>AVERAGE(Datos!I:I)</f>
        <v>344.85</v>
      </c>
      <c r="J3" s="11">
        <f>AVERAGE(Datos!J:J)</f>
        <v>0</v>
      </c>
      <c r="K3" s="11">
        <f>AVERAGE(Datos!K:K)</f>
        <v>539.2500377</v>
      </c>
      <c r="L3" s="11">
        <f>AVERAGE(Datos!L:L)</f>
        <v>5321.6275</v>
      </c>
      <c r="M3" s="11">
        <f>AVERAGE(Datos!M:M)</f>
        <v>15.68832024</v>
      </c>
      <c r="N3" s="11">
        <f>AVERAGE(Datos!N:N)</f>
        <v>329.1616798</v>
      </c>
      <c r="O3" s="11">
        <f>AVERAGE(Datos!O:O)</f>
        <v>360.5383202</v>
      </c>
      <c r="P3" s="11">
        <f>AVERAGE(Datos!P:P)</f>
        <v>53.91693315</v>
      </c>
      <c r="Q3" s="11">
        <f>AVERAGE(Datos!Q:Q)</f>
        <v>290.9330668</v>
      </c>
      <c r="R3" s="11">
        <f>AVERAGE(Datos!R:R)</f>
        <v>398.7669332</v>
      </c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>
      <c r="A5" s="13" t="s">
        <v>20</v>
      </c>
      <c r="B5" s="14">
        <f>COUNT(Datos!A:A)</f>
        <v>20</v>
      </c>
      <c r="C5" s="12"/>
      <c r="D5" s="12"/>
      <c r="E5" s="13" t="s">
        <v>21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13" t="s">
        <v>22</v>
      </c>
      <c r="B6" s="15">
        <f>B5-2</f>
        <v>18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12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12"/>
      <c r="B8" s="12"/>
      <c r="C8" s="13"/>
      <c r="D8" s="12"/>
      <c r="E8" s="16" t="s">
        <v>23</v>
      </c>
      <c r="F8" s="12"/>
      <c r="G8" s="12"/>
      <c r="H8" s="12"/>
      <c r="I8" s="16" t="s">
        <v>24</v>
      </c>
      <c r="J8" s="12"/>
      <c r="K8" s="12"/>
      <c r="L8" s="16" t="s">
        <v>25</v>
      </c>
      <c r="M8" s="12"/>
      <c r="N8" s="12"/>
      <c r="O8" s="12"/>
      <c r="P8" s="12"/>
      <c r="Q8" s="12"/>
      <c r="R8" s="12"/>
    </row>
    <row r="9">
      <c r="A9" s="12"/>
      <c r="B9" s="12"/>
      <c r="C9" s="13" t="s">
        <v>26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7"/>
      <c r="M10" s="18" t="s">
        <v>27</v>
      </c>
      <c r="N10" s="12"/>
      <c r="O10" s="12"/>
      <c r="P10" s="19" t="s">
        <v>28</v>
      </c>
      <c r="Q10" s="19"/>
      <c r="R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8" t="s">
        <v>14</v>
      </c>
      <c r="M11" s="20">
        <f>C12+(J12*M15)</f>
        <v>1.605601784</v>
      </c>
      <c r="N11" s="12"/>
      <c r="O11" s="12"/>
      <c r="P11" s="12"/>
      <c r="Q11" s="12"/>
      <c r="R11" s="12"/>
    </row>
    <row r="12">
      <c r="A12" s="12"/>
      <c r="B12" s="12"/>
      <c r="C12" s="21">
        <f>G2/H2</f>
        <v>1.376683285</v>
      </c>
      <c r="D12" s="12"/>
      <c r="E12" s="12"/>
      <c r="F12" s="12"/>
      <c r="G12" s="21">
        <f>C26/H2</f>
        <v>0.01187249258</v>
      </c>
      <c r="H12" s="12"/>
      <c r="I12" s="16" t="s">
        <v>29</v>
      </c>
      <c r="J12" s="21">
        <f>SQRT(G12)</f>
        <v>0.1089609682</v>
      </c>
      <c r="K12" s="12"/>
      <c r="L12" s="17"/>
      <c r="M12" s="17"/>
      <c r="N12" s="12"/>
      <c r="O12" s="12"/>
      <c r="P12" s="22" t="s">
        <v>30</v>
      </c>
      <c r="Q12" s="12">
        <f>(C12-0)/J12</f>
        <v>12.63464622</v>
      </c>
      <c r="R12" s="12"/>
    </row>
    <row r="13">
      <c r="A13" s="12"/>
      <c r="B13" s="12"/>
      <c r="C13" s="23"/>
      <c r="D13" s="12"/>
      <c r="E13" s="12"/>
      <c r="F13" s="12"/>
      <c r="G13" s="23"/>
      <c r="H13" s="12"/>
      <c r="I13" s="12"/>
      <c r="J13" s="23"/>
      <c r="K13" s="12"/>
      <c r="L13" s="18" t="s">
        <v>13</v>
      </c>
      <c r="M13" s="20">
        <f>C12-(J12*M15)</f>
        <v>1.147764785</v>
      </c>
      <c r="N13" s="12"/>
      <c r="O13" s="12"/>
      <c r="P13" s="24"/>
      <c r="Q13" s="12"/>
      <c r="R13" s="12"/>
    </row>
    <row r="14">
      <c r="A14" s="12"/>
      <c r="B14" s="12"/>
      <c r="C14" s="23"/>
      <c r="D14" s="12"/>
      <c r="E14" s="12"/>
      <c r="F14" s="12"/>
      <c r="G14" s="23"/>
      <c r="H14" s="12"/>
      <c r="I14" s="12"/>
      <c r="J14" s="23"/>
      <c r="K14" s="12"/>
      <c r="L14" s="16" t="s">
        <v>31</v>
      </c>
      <c r="M14" s="25">
        <v>0.95</v>
      </c>
      <c r="N14" s="12"/>
      <c r="O14" s="12"/>
      <c r="P14" s="22" t="s">
        <v>32</v>
      </c>
      <c r="Q14" s="26">
        <f>_xlfn.T.DIST.2T(Q12, B6)</f>
        <v>0.0000000002191635762</v>
      </c>
      <c r="R14" s="12"/>
    </row>
    <row r="15">
      <c r="A15" s="12"/>
      <c r="B15" s="12"/>
      <c r="C15" s="23"/>
      <c r="D15" s="12"/>
      <c r="E15" s="12"/>
      <c r="F15" s="12"/>
      <c r="G15" s="23"/>
      <c r="H15" s="12"/>
      <c r="I15" s="12"/>
      <c r="J15" s="23"/>
      <c r="K15" s="12"/>
      <c r="L15" s="22" t="s">
        <v>33</v>
      </c>
      <c r="M15" s="12">
        <f>TINV((1-M14),B6)</f>
        <v>2.10092204</v>
      </c>
      <c r="N15" s="12"/>
      <c r="O15" s="12"/>
      <c r="P15" s="12"/>
      <c r="Q15" s="12"/>
      <c r="R15" s="12"/>
    </row>
    <row r="16">
      <c r="A16" s="12"/>
      <c r="B16" s="12"/>
      <c r="C16" s="23"/>
      <c r="D16" s="12"/>
      <c r="E16" s="12"/>
      <c r="F16" s="12"/>
      <c r="G16" s="23"/>
      <c r="H16" s="12"/>
      <c r="I16" s="12"/>
      <c r="J16" s="23"/>
      <c r="K16" s="12"/>
      <c r="L16" s="12"/>
      <c r="M16" s="12"/>
      <c r="N16" s="12"/>
      <c r="O16" s="12"/>
      <c r="P16" s="12"/>
      <c r="Q16" s="12"/>
      <c r="R16" s="12"/>
    </row>
    <row r="17">
      <c r="A17" s="12"/>
      <c r="B17" s="12"/>
      <c r="C17" s="23"/>
      <c r="D17" s="12"/>
      <c r="E17" s="12"/>
      <c r="F17" s="12"/>
      <c r="G17" s="23"/>
      <c r="H17" s="12"/>
      <c r="I17" s="12"/>
      <c r="J17" s="23"/>
      <c r="K17" s="12"/>
      <c r="L17" s="17"/>
      <c r="M17" s="18" t="s">
        <v>34</v>
      </c>
      <c r="N17" s="12"/>
      <c r="O17" s="12"/>
      <c r="P17" s="19" t="s">
        <v>35</v>
      </c>
      <c r="Q17" s="19"/>
      <c r="R17" s="12"/>
    </row>
    <row r="18">
      <c r="A18" s="12"/>
      <c r="B18" s="12"/>
      <c r="C18" s="23"/>
      <c r="D18" s="12"/>
      <c r="E18" s="12"/>
      <c r="F18" s="12"/>
      <c r="G18" s="23"/>
      <c r="H18" s="12"/>
      <c r="I18" s="12"/>
      <c r="J18" s="23"/>
      <c r="K18" s="12"/>
      <c r="L18" s="18" t="s">
        <v>14</v>
      </c>
      <c r="M18" s="20">
        <f>C19+(J19*M15)</f>
        <v>102.1752693</v>
      </c>
      <c r="N18" s="12"/>
      <c r="O18" s="12"/>
      <c r="P18" s="27"/>
      <c r="Q18" s="27"/>
      <c r="R18" s="12"/>
    </row>
    <row r="19">
      <c r="A19" s="12"/>
      <c r="B19" s="12"/>
      <c r="C19" s="21">
        <f>C3-(C12*B3)</f>
        <v>52.16713364</v>
      </c>
      <c r="D19" s="12"/>
      <c r="E19" s="12"/>
      <c r="F19" s="12"/>
      <c r="G19" s="21">
        <f>(C26*D2)/(B5*H2)</f>
        <v>566.5802782</v>
      </c>
      <c r="H19" s="12"/>
      <c r="I19" s="16" t="s">
        <v>36</v>
      </c>
      <c r="J19" s="21">
        <f>SQRT(G19)</f>
        <v>23.80294684</v>
      </c>
      <c r="K19" s="12"/>
      <c r="L19" s="17"/>
      <c r="M19" s="17"/>
      <c r="N19" s="12"/>
      <c r="O19" s="12"/>
      <c r="P19" s="22" t="s">
        <v>30</v>
      </c>
      <c r="Q19" s="28">
        <f>(C19-0)/J19</f>
        <v>2.191625012</v>
      </c>
      <c r="R19" s="12"/>
    </row>
    <row r="20">
      <c r="A20" s="12"/>
      <c r="B20" s="12"/>
      <c r="C20" s="23"/>
      <c r="D20" s="12"/>
      <c r="E20" s="12"/>
      <c r="F20" s="12"/>
      <c r="G20" s="12"/>
      <c r="H20" s="12"/>
      <c r="I20" s="12"/>
      <c r="J20" s="23"/>
      <c r="K20" s="12"/>
      <c r="L20" s="18" t="s">
        <v>13</v>
      </c>
      <c r="M20" s="20">
        <f>C19-(J19*M15)</f>
        <v>2.158998004</v>
      </c>
      <c r="N20" s="12"/>
      <c r="O20" s="12"/>
      <c r="P20" s="24"/>
      <c r="Q20" s="27"/>
      <c r="R20" s="12"/>
    </row>
    <row r="21">
      <c r="A21" s="12"/>
      <c r="B21" s="12"/>
      <c r="C21" s="23"/>
      <c r="D21" s="12"/>
      <c r="E21" s="12"/>
      <c r="F21" s="12"/>
      <c r="G21" s="12"/>
      <c r="H21" s="12"/>
      <c r="I21" s="12"/>
      <c r="J21" s="23"/>
      <c r="K21" s="12"/>
      <c r="L21" s="12"/>
      <c r="M21" s="12"/>
      <c r="N21" s="12"/>
      <c r="O21" s="12"/>
      <c r="P21" s="22" t="s">
        <v>32</v>
      </c>
      <c r="Q21" s="28">
        <f>_xlfn.T.DIST.2T(Q19, B6)</f>
        <v>0.04179994291</v>
      </c>
      <c r="R21" s="12"/>
    </row>
    <row r="22">
      <c r="A22" s="12"/>
      <c r="B22" s="12"/>
      <c r="C22" s="23"/>
      <c r="D22" s="12"/>
      <c r="E22" s="12"/>
      <c r="F22" s="12"/>
      <c r="G22" s="12"/>
      <c r="H22" s="12"/>
      <c r="I22" s="12"/>
      <c r="J22" s="23"/>
      <c r="K22" s="12"/>
      <c r="L22" s="12"/>
      <c r="M22" s="12"/>
      <c r="N22" s="12"/>
      <c r="O22" s="12"/>
      <c r="P22" s="12"/>
      <c r="Q22" s="12"/>
      <c r="R22" s="12"/>
    </row>
    <row r="23">
      <c r="A23" s="12"/>
      <c r="B23" s="12"/>
      <c r="C23" s="23"/>
      <c r="D23" s="12"/>
      <c r="E23" s="12"/>
      <c r="F23" s="12"/>
      <c r="G23" s="12"/>
      <c r="H23" s="12"/>
      <c r="I23" s="12"/>
      <c r="J23" s="23"/>
      <c r="K23" s="12"/>
      <c r="L23" s="12"/>
      <c r="M23" s="12"/>
      <c r="N23" s="12"/>
      <c r="O23" s="12"/>
      <c r="P23" s="12"/>
      <c r="Q23" s="12"/>
      <c r="R23" s="12"/>
    </row>
    <row r="24">
      <c r="A24" s="12"/>
      <c r="B24" s="12"/>
      <c r="C24" s="23"/>
      <c r="D24" s="12"/>
      <c r="E24" s="13" t="s">
        <v>37</v>
      </c>
      <c r="F24" s="13" t="s">
        <v>38</v>
      </c>
      <c r="G24" s="12"/>
      <c r="H24" s="12"/>
      <c r="I24" s="12"/>
      <c r="J24" s="23"/>
      <c r="K24" s="12"/>
      <c r="L24" s="12"/>
      <c r="M24" s="12"/>
      <c r="N24" s="12"/>
      <c r="O24" s="12"/>
      <c r="P24" s="12"/>
      <c r="Q24" s="12"/>
      <c r="R24" s="12"/>
    </row>
    <row r="25">
      <c r="A25" s="12"/>
      <c r="B25" s="12"/>
      <c r="C25" s="23"/>
      <c r="D25" s="12"/>
      <c r="E25" s="12" t="str">
        <f>IF(C12&gt;=0, " + ", " - ")</f>
        <v> + </v>
      </c>
      <c r="F25" s="13">
        <v>4.0</v>
      </c>
      <c r="G25" s="12"/>
      <c r="H25" s="12"/>
      <c r="I25" s="12"/>
      <c r="J25" s="23"/>
      <c r="K25" s="12"/>
      <c r="L25" s="17"/>
      <c r="M25" s="29" t="s">
        <v>39</v>
      </c>
      <c r="N25" s="30" t="s">
        <v>40</v>
      </c>
      <c r="O25" s="12"/>
      <c r="P25" s="12"/>
      <c r="Q25" s="12"/>
      <c r="R25" s="12"/>
    </row>
    <row r="26">
      <c r="A26" s="12"/>
      <c r="B26" s="12"/>
      <c r="C26" s="21">
        <f>K2/B6</f>
        <v>599.1667086</v>
      </c>
      <c r="D26" s="12"/>
      <c r="E26" s="22"/>
      <c r="F26" s="12"/>
      <c r="G26" s="12"/>
      <c r="H26" s="12"/>
      <c r="I26" s="12"/>
      <c r="J26" s="23"/>
      <c r="K26" s="12"/>
      <c r="L26" s="18" t="s">
        <v>13</v>
      </c>
      <c r="M26" s="31">
        <f>C30/M29</f>
        <v>342.0945027</v>
      </c>
      <c r="N26" s="32">
        <f>SQRT(M26)</f>
        <v>18.49579689</v>
      </c>
      <c r="O26" s="12"/>
      <c r="P26" s="12"/>
      <c r="Q26" s="12"/>
      <c r="R26" s="12"/>
    </row>
    <row r="27">
      <c r="A27" s="12"/>
      <c r="B27" s="12"/>
      <c r="C27" s="12"/>
      <c r="D27" s="12"/>
      <c r="E27" s="16" t="s">
        <v>41</v>
      </c>
      <c r="F27" s="33" t="str">
        <f>"Yi = " &amp; ROUND(C19,F25) &amp;E25  &amp; (ABS(ROUND(C12,F25))) &amp; " Xi"</f>
        <v>Yi = 52.1671 + 1.3767 Xi</v>
      </c>
      <c r="G27" s="34"/>
      <c r="H27" s="12"/>
      <c r="I27" s="16" t="s">
        <v>42</v>
      </c>
      <c r="J27" s="21">
        <f>SQRT(C26)</f>
        <v>24.47788203</v>
      </c>
      <c r="K27" s="12"/>
      <c r="L27" s="17"/>
      <c r="M27" s="35"/>
      <c r="N27" s="32"/>
      <c r="O27" s="12"/>
      <c r="P27" s="12"/>
      <c r="Q27" s="12"/>
      <c r="R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8" t="s">
        <v>14</v>
      </c>
      <c r="M28" s="31">
        <f>C30/M30</f>
        <v>1310.330862</v>
      </c>
      <c r="N28" s="32">
        <f>SQRT(M28)</f>
        <v>36.19849254</v>
      </c>
      <c r="O28" s="12"/>
      <c r="P28" s="12"/>
      <c r="Q28" s="12"/>
      <c r="R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22" t="s">
        <v>43</v>
      </c>
      <c r="M29" s="36">
        <f>_xlfn.CHISQ.INV(0.975,B6)</f>
        <v>31.52637844</v>
      </c>
      <c r="N29" s="37"/>
      <c r="O29" s="12"/>
      <c r="P29" s="12"/>
      <c r="Q29" s="12"/>
      <c r="R29" s="12"/>
    </row>
    <row r="30">
      <c r="A30" s="12"/>
      <c r="B30" s="12"/>
      <c r="C30" s="21">
        <f>B6*C26</f>
        <v>10785.00075</v>
      </c>
      <c r="D30" s="12"/>
      <c r="E30" s="12"/>
      <c r="F30" s="12"/>
      <c r="G30" s="12"/>
      <c r="H30" s="12"/>
      <c r="I30" s="12"/>
      <c r="J30" s="12"/>
      <c r="K30" s="12"/>
      <c r="L30" s="22" t="s">
        <v>44</v>
      </c>
      <c r="M30" s="36">
        <f>_xlfn.CHISQ.INV(0.025,B6)</f>
        <v>8.230746195</v>
      </c>
      <c r="N30" s="37"/>
      <c r="O30" s="12"/>
      <c r="P30" s="12"/>
      <c r="Q30" s="12"/>
      <c r="R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13" t="s">
        <v>45</v>
      </c>
      <c r="B33" s="38">
        <v>0.05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19" t="s">
        <v>46</v>
      </c>
      <c r="E34" s="19"/>
      <c r="F34" s="19"/>
      <c r="G34" s="19"/>
      <c r="H34" s="30"/>
      <c r="I34" s="39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40"/>
      <c r="B35" s="40"/>
      <c r="C35" s="40"/>
      <c r="D35" s="40"/>
      <c r="E35" s="40"/>
      <c r="F35" s="40"/>
      <c r="G35" s="40"/>
      <c r="H35" s="27"/>
      <c r="I35" s="27"/>
      <c r="J35" s="12"/>
      <c r="K35" s="12"/>
      <c r="L35" s="12"/>
      <c r="M35" s="12"/>
      <c r="N35" s="12"/>
      <c r="O35" s="12"/>
      <c r="P35" s="12"/>
      <c r="Q35" s="12"/>
      <c r="R35" s="12"/>
    </row>
    <row r="36" ht="22.5" customHeight="1">
      <c r="A36" s="41" t="s">
        <v>47</v>
      </c>
      <c r="B36" s="41" t="s">
        <v>48</v>
      </c>
      <c r="C36" s="41" t="s">
        <v>49</v>
      </c>
      <c r="D36" s="41" t="s">
        <v>50</v>
      </c>
      <c r="E36" s="41" t="s">
        <v>51</v>
      </c>
      <c r="F36" s="41" t="s">
        <v>52</v>
      </c>
      <c r="G36" s="41" t="s">
        <v>53</v>
      </c>
      <c r="H36" s="27"/>
      <c r="I36" s="27"/>
      <c r="J36" s="12"/>
      <c r="K36" s="12"/>
      <c r="L36" s="12"/>
      <c r="M36" s="12"/>
      <c r="N36" s="12"/>
      <c r="O36" s="12"/>
      <c r="P36" s="12"/>
      <c r="Q36" s="12"/>
      <c r="R36" s="12"/>
    </row>
    <row r="37" ht="22.5" customHeight="1">
      <c r="A37" s="42" t="s">
        <v>54</v>
      </c>
      <c r="B37" s="43">
        <f>C19</f>
        <v>52.16713364</v>
      </c>
      <c r="C37" s="43">
        <f>J19</f>
        <v>23.80294684</v>
      </c>
      <c r="D37" s="44">
        <f>Q19</f>
        <v>2.191625012</v>
      </c>
      <c r="E37" s="45">
        <f>Q21</f>
        <v>0.04179994291</v>
      </c>
      <c r="F37" s="43">
        <f>M20</f>
        <v>2.158998004</v>
      </c>
      <c r="G37" s="43">
        <f>M18</f>
        <v>102.1752693</v>
      </c>
      <c r="H37" s="22" t="str">
        <f>IF(E37&gt;=B33, "No rechazo Ho", "Rechazo Ho")</f>
        <v>Rechazo Ho</v>
      </c>
      <c r="I37" s="22" t="s">
        <v>55</v>
      </c>
      <c r="J37" s="12"/>
      <c r="K37" s="12"/>
      <c r="L37" s="12"/>
      <c r="M37" s="12"/>
      <c r="N37" s="12"/>
      <c r="O37" s="12"/>
      <c r="P37" s="12"/>
      <c r="Q37" s="12"/>
      <c r="R37" s="12"/>
    </row>
    <row r="38" ht="22.5" customHeight="1">
      <c r="A38" s="42" t="s">
        <v>56</v>
      </c>
      <c r="B38" s="43">
        <f>C12</f>
        <v>1.376683285</v>
      </c>
      <c r="C38" s="43">
        <f>J12</f>
        <v>0.1089609682</v>
      </c>
      <c r="D38" s="44">
        <f>Q12</f>
        <v>12.63464622</v>
      </c>
      <c r="E38" s="45">
        <f>Q14</f>
        <v>0.0000000002191635762</v>
      </c>
      <c r="F38" s="43">
        <f>M13</f>
        <v>1.147764785</v>
      </c>
      <c r="G38" s="43">
        <f>M11</f>
        <v>1.605601784</v>
      </c>
      <c r="H38" s="22" t="str">
        <f>IF(E38&gt;=B33, "No rechazo Ho", "Rechazo Ho")</f>
        <v>Rechazo Ho</v>
      </c>
      <c r="I38" s="22" t="s">
        <v>57</v>
      </c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22"/>
      <c r="B40" s="22"/>
      <c r="C40" s="2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46" t="s">
        <v>58</v>
      </c>
      <c r="B41" s="34"/>
      <c r="C41" s="30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ht="22.5" customHeight="1">
      <c r="A43" s="47" t="s">
        <v>59</v>
      </c>
      <c r="B43" s="47" t="s">
        <v>60</v>
      </c>
      <c r="C43" s="47" t="s">
        <v>61</v>
      </c>
      <c r="D43" s="47" t="s">
        <v>62</v>
      </c>
      <c r="E43" s="41" t="s">
        <v>63</v>
      </c>
      <c r="F43" s="47" t="s">
        <v>51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ht="22.5" customHeight="1">
      <c r="A44" s="48" t="s">
        <v>64</v>
      </c>
      <c r="B44" s="49">
        <f>B46-B45</f>
        <v>95647.54925</v>
      </c>
      <c r="C44" s="50">
        <v>1.0</v>
      </c>
      <c r="D44" s="49">
        <f>B44</f>
        <v>95647.54925</v>
      </c>
      <c r="E44" s="51">
        <f>D44/D45</f>
        <v>159.6342852</v>
      </c>
      <c r="F44" s="52">
        <f>_xlfn.F.DIST.RT(E44,1,C45)</f>
        <v>0.0000000002191635762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ht="22.5" customHeight="1">
      <c r="A45" s="53" t="s">
        <v>65</v>
      </c>
      <c r="B45" s="49">
        <f>K2</f>
        <v>10785.00075</v>
      </c>
      <c r="C45" s="50">
        <f>B5-2</f>
        <v>18</v>
      </c>
      <c r="D45" s="49">
        <f>B45/C45</f>
        <v>599.1667086</v>
      </c>
      <c r="E45" s="54"/>
      <c r="F45" s="55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ht="22.5" customHeight="1">
      <c r="A46" s="53" t="s">
        <v>66</v>
      </c>
      <c r="B46" s="49">
        <f>L2</f>
        <v>106432.55</v>
      </c>
      <c r="C46" s="50">
        <f>B5-1</f>
        <v>19</v>
      </c>
      <c r="D46" s="56"/>
      <c r="E46" s="57"/>
      <c r="F46" s="58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22"/>
      <c r="B48" s="2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46" t="s">
        <v>67</v>
      </c>
      <c r="B49" s="3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>
      <c r="A52" s="16" t="s">
        <v>68</v>
      </c>
      <c r="B52" s="12"/>
      <c r="C52" s="21">
        <f>1-(K2/L2)</f>
        <v>0.8986682105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16" t="s">
        <v>69</v>
      </c>
      <c r="B56" s="12"/>
      <c r="C56" s="21">
        <f>SQRT(C52)</f>
        <v>0.9479811235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46" t="s">
        <v>70</v>
      </c>
      <c r="B60" s="3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>
      <c r="A81" s="59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>
      <c r="A82" s="59"/>
      <c r="B82" s="59"/>
      <c r="C82" s="60" t="s">
        <v>71</v>
      </c>
      <c r="D82" s="61"/>
      <c r="E82" s="34"/>
      <c r="F82" s="60" t="s">
        <v>72</v>
      </c>
      <c r="G82" s="61"/>
      <c r="H82" s="34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ht="22.5" customHeight="1">
      <c r="A83" s="62" t="s">
        <v>73</v>
      </c>
      <c r="B83" s="62" t="s">
        <v>74</v>
      </c>
      <c r="C83" s="62" t="s">
        <v>75</v>
      </c>
      <c r="D83" s="62" t="s">
        <v>52</v>
      </c>
      <c r="E83" s="62" t="s">
        <v>76</v>
      </c>
      <c r="F83" s="62" t="s">
        <v>77</v>
      </c>
      <c r="G83" s="62" t="s">
        <v>78</v>
      </c>
      <c r="H83" s="62" t="s">
        <v>79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ht="22.5" customHeight="1">
      <c r="A84" s="63">
        <v>250.0</v>
      </c>
      <c r="B84" s="64">
        <f t="shared" ref="B84:B86" si="1">$C$19+($C$12*A84)</f>
        <v>396.3379549</v>
      </c>
      <c r="C84" s="64">
        <f>'Cálculos'!$M$15*'Cálculos'!$J$27*SQRT((1/'Cálculos'!$B$5)+(POWER(A84-'Cálculos'!$B$3,2)/'Cálculos'!$H$2))</f>
        <v>14.3364037</v>
      </c>
      <c r="D84" s="64">
        <f t="shared" ref="D84:D86" si="2">B84-C84</f>
        <v>382.0015512</v>
      </c>
      <c r="E84" s="64">
        <f t="shared" ref="E84:E86" si="3">B84+C84</f>
        <v>410.6743586</v>
      </c>
      <c r="F84" s="64">
        <f>'Cálculos'!$M$15*'Cálculos'!$J$27*SQRT(1+(1/'Cálculos'!$B$5)+(POWER(A84-'Cálculos'!$B$3,2)/'Cálculos'!$H$2))</f>
        <v>53.38706285</v>
      </c>
      <c r="G84" s="64">
        <f t="shared" ref="G84:G86" si="4">B84-F84</f>
        <v>342.950892</v>
      </c>
      <c r="H84" s="64">
        <f t="shared" ref="H84:H86" si="5">B84+F84</f>
        <v>449.7250177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ht="22.5" customHeight="1">
      <c r="A85" s="63">
        <v>300.0</v>
      </c>
      <c r="B85" s="64">
        <f t="shared" si="1"/>
        <v>465.1721191</v>
      </c>
      <c r="C85" s="64">
        <f>'Cálculos'!$M$15*'Cálculos'!$J$27*SQRT((1/'Cálculos'!$B$5)+(POWER(A85-'Cálculos'!$B$3,2)/'Cálculos'!$H$2))</f>
        <v>23.07664253</v>
      </c>
      <c r="D85" s="64">
        <f t="shared" si="2"/>
        <v>442.0954766</v>
      </c>
      <c r="E85" s="64">
        <f t="shared" si="3"/>
        <v>488.2487616</v>
      </c>
      <c r="F85" s="64">
        <f>'Cálculos'!$M$15*'Cálculos'!$J$27*SQRT(1+(1/'Cálculos'!$B$5)+(POWER(A85-'Cálculos'!$B$3,2)/'Cálculos'!$H$2))</f>
        <v>56.36645669</v>
      </c>
      <c r="G85" s="64">
        <f t="shared" si="4"/>
        <v>408.8056624</v>
      </c>
      <c r="H85" s="64">
        <f t="shared" si="5"/>
        <v>521.5385758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ht="22.5" customHeight="1">
      <c r="A86" s="65">
        <v>350.0</v>
      </c>
      <c r="B86" s="66">
        <f t="shared" si="1"/>
        <v>534.0062833</v>
      </c>
      <c r="C86" s="66">
        <f>'Cálculos'!$M$15*'Cálculos'!$J$27*SQRT((1/'Cálculos'!$B$5)+(POWER(A86-'Cálculos'!$B$3,2)/'Cálculos'!$H$2))</f>
        <v>33.48953251</v>
      </c>
      <c r="D86" s="66">
        <f t="shared" si="2"/>
        <v>500.5167508</v>
      </c>
      <c r="E86" s="66">
        <f t="shared" si="3"/>
        <v>567.4958158</v>
      </c>
      <c r="F86" s="66">
        <f>'Cálculos'!$M$15*'Cálculos'!$J$27*SQRT(1+(1/'Cálculos'!$B$5)+(POWER(A86-'Cálculos'!$B$3,2)/'Cálculos'!$H$2))</f>
        <v>61.36933107</v>
      </c>
      <c r="G86" s="66">
        <f t="shared" si="4"/>
        <v>472.6369523</v>
      </c>
      <c r="H86" s="66">
        <f t="shared" si="5"/>
        <v>595.3756144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</row>
  </sheetData>
  <mergeCells count="8">
    <mergeCell ref="F27:G27"/>
    <mergeCell ref="A34:D34"/>
    <mergeCell ref="A41:B41"/>
    <mergeCell ref="A49:B49"/>
    <mergeCell ref="A60:B60"/>
    <mergeCell ref="A81:B81"/>
    <mergeCell ref="C82:E82"/>
    <mergeCell ref="F82:H82"/>
  </mergeCells>
  <dataValidations>
    <dataValidation type="custom" allowBlank="1" showDropDown="1" sqref="B2:R3 D37:D38 B44:B46 D44:D46 B84:H86">
      <formula1>AND(ISNUMBER(B2),(NOT(OR(NOT(ISERROR(DATEVALUE(B2))), AND(ISNUMBER(B2), LEFT(CELL("format", B2))="D")))))</formula1>
    </dataValidation>
  </dataValidations>
  <drawing r:id="rId1"/>
  <tableParts count="4">
    <tablePart r:id="rId6"/>
    <tablePart r:id="rId7"/>
    <tablePart r:id="rId8"/>
    <tablePart r:id="rId9"/>
  </tableParts>
</worksheet>
</file>