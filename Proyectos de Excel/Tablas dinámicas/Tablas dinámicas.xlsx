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6° Semestre\Análisis Numérico\"/>
    </mc:Choice>
  </mc:AlternateContent>
  <xr:revisionPtr revIDLastSave="0" documentId="8_{59ABC976-5803-4EF0-90EE-18DF492CCC4F}" xr6:coauthVersionLast="47" xr6:coauthVersionMax="47" xr10:uidLastSave="{00000000-0000-0000-0000-000000000000}"/>
  <bookViews>
    <workbookView xWindow="-120" yWindow="-120" windowWidth="20640" windowHeight="11040" xr2:uid="{7340B253-C424-4BA1-A38C-D2816152FCE5}"/>
  </bookViews>
  <sheets>
    <sheet name="Tabla" sheetId="1" r:id="rId1"/>
    <sheet name="(a)" sheetId="2" r:id="rId2"/>
    <sheet name="(b)" sheetId="3" r:id="rId3"/>
    <sheet name="(c)" sheetId="4" r:id="rId4"/>
    <sheet name="(d)" sheetId="5" r:id="rId5"/>
  </sheet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</calcChain>
</file>

<file path=xl/sharedStrings.xml><?xml version="1.0" encoding="utf-8"?>
<sst xmlns="http://schemas.openxmlformats.org/spreadsheetml/2006/main" count="80" uniqueCount="34">
  <si>
    <t>ID Vendedor</t>
  </si>
  <si>
    <t>Pais</t>
  </si>
  <si>
    <t>Vendedor</t>
  </si>
  <si>
    <t>Fecha del pedido</t>
  </si>
  <si>
    <t>Clave del pedido</t>
  </si>
  <si>
    <t>Total de la venta</t>
  </si>
  <si>
    <t>E.U.</t>
  </si>
  <si>
    <t>Bucha</t>
  </si>
  <si>
    <t>Guatemala</t>
  </si>
  <si>
    <t>Perez</t>
  </si>
  <si>
    <t>Mexico</t>
  </si>
  <si>
    <t>Martin</t>
  </si>
  <si>
    <t>Garcia</t>
  </si>
  <si>
    <t>Azcara</t>
  </si>
  <si>
    <t>Marquez</t>
  </si>
  <si>
    <t>Ramirez</t>
  </si>
  <si>
    <t>Etiquetas de fila</t>
  </si>
  <si>
    <t>Total general</t>
  </si>
  <si>
    <t>Suma de Total de la venta</t>
  </si>
  <si>
    <t>(a) ¿Cuál es el total que ha vendido cada vendedor?</t>
  </si>
  <si>
    <t>(b) ¿Cuál es el total de venta por país?</t>
  </si>
  <si>
    <t>(c) ¿Quiénes son los mejores 5 vendedores?</t>
  </si>
  <si>
    <t>oct</t>
  </si>
  <si>
    <t>nov</t>
  </si>
  <si>
    <t>dic</t>
  </si>
  <si>
    <t>06-oct</t>
  </si>
  <si>
    <t>12-oct</t>
  </si>
  <si>
    <t>05-nov</t>
  </si>
  <si>
    <t>06-nov</t>
  </si>
  <si>
    <t>17-nov</t>
  </si>
  <si>
    <t>18-nov</t>
  </si>
  <si>
    <t>01-dic</t>
  </si>
  <si>
    <t>02-dic</t>
  </si>
  <si>
    <t>(d) ¿A cuánto ascienden las ventas por mes?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</si>
</sst>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7" formatCode="_-&quot;$&quot;* #,##0_-;\-&quot;$&quot;* #,##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7" fontId="0" fillId="0" borderId="0" xfId="1" applyNumberFormat="1" applyFon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</cellXfs>
  <cellStyles count="2">
    <cellStyle name="Moneda" xfId="1" builtinId="4"/>
    <cellStyle name="Normal" xfId="0" builtinId="0"/>
  </cellStyles>
  <dxfs count="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numFmt numFmtId="167" formatCode="_-&quot;$&quot;* #,##0_-;\-&quot;$&quot;* #,##0_-;_-&quot;$&quot;* &quot;-&quot;??_-;_-@_-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om" refreshedDate="45776.740585300926" createdVersion="8" refreshedVersion="8" minRefreshableVersion="3" recordCount="15" xr:uid="{403072A5-3F48-4992-AFB6-59CBFAA19C03}">
  <cacheSource type="worksheet">
    <worksheetSource name="Tabla1"/>
  </cacheSource>
  <cacheFields count="8">
    <cacheField name="ID Vendedor" numFmtId="0">
      <sharedItems containsSemiMixedTypes="0" containsString="0" containsNumber="1" containsInteger="1" minValue="2010" maxValue="2018"/>
    </cacheField>
    <cacheField name="Pais" numFmtId="0">
      <sharedItems count="3">
        <s v="E.U."/>
        <s v="Guatemala"/>
        <s v="Mexico"/>
      </sharedItems>
    </cacheField>
    <cacheField name="Vendedor" numFmtId="0">
      <sharedItems count="7">
        <s v="Bucha"/>
        <s v="Perez"/>
        <s v="Martin"/>
        <s v="Garcia"/>
        <s v="Azcara"/>
        <s v="Marquez"/>
        <s v="Ramirez"/>
      </sharedItems>
    </cacheField>
    <cacheField name="Fecha del pedido" numFmtId="14">
      <sharedItems containsSemiMixedTypes="0" containsNonDate="0" containsDate="1" containsString="0" minDate="2010-10-06T00:00:00" maxDate="2010-12-03T00:00:00" count="8">
        <d v="2010-10-06T00:00:00"/>
        <d v="2010-10-12T00:00:00"/>
        <d v="2010-11-05T00:00:00"/>
        <d v="2010-11-06T00:00:00"/>
        <d v="2010-11-17T00:00:00"/>
        <d v="2010-11-18T00:00:00"/>
        <d v="2010-12-01T00:00:00"/>
        <d v="2010-12-02T00:00:00"/>
      </sharedItems>
      <fieldGroup par="7"/>
    </cacheField>
    <cacheField name="Clave del pedido" numFmtId="0">
      <sharedItems containsSemiMixedTypes="0" containsString="0" containsNumber="1" containsInteger="1" minValue="10253" maxValue="10269"/>
    </cacheField>
    <cacheField name="Total de la venta" numFmtId="167">
      <sharedItems containsSemiMixedTypes="0" containsString="0" containsNumber="1" containsInteger="1" minValue="100" maxValue="3972"/>
    </cacheField>
    <cacheField name="Días (Fecha del pedido)" numFmtId="0" databaseField="0">
      <fieldGroup base="3">
        <rangePr groupBy="days" startDate="2010-10-06T00:00:00" endDate="2010-12-03T00:00:00"/>
        <groupItems count="368">
          <s v="&lt;06/10/2010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3/12/2010"/>
        </groupItems>
      </fieldGroup>
    </cacheField>
    <cacheField name="Meses (Fecha del pedido)" numFmtId="0" databaseField="0">
      <fieldGroup base="3">
        <rangePr groupBy="months" startDate="2010-10-06T00:00:00" endDate="2010-12-03T00:00:00"/>
        <groupItems count="14">
          <s v="&lt;06/10/201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3/12/201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12"/>
    <x v="0"/>
    <x v="0"/>
    <x v="0"/>
    <n v="10253"/>
    <n v="1444"/>
  </r>
  <r>
    <n v="2012"/>
    <x v="0"/>
    <x v="0"/>
    <x v="0"/>
    <n v="10254"/>
    <n v="556"/>
  </r>
  <r>
    <n v="2017"/>
    <x v="1"/>
    <x v="1"/>
    <x v="1"/>
    <n v="10257"/>
    <n v="3597"/>
  </r>
  <r>
    <n v="2016"/>
    <x v="2"/>
    <x v="2"/>
    <x v="1"/>
    <n v="10258"/>
    <n v="1119"/>
  </r>
  <r>
    <n v="2016"/>
    <x v="2"/>
    <x v="2"/>
    <x v="2"/>
    <n v="10259"/>
    <n v="2119"/>
  </r>
  <r>
    <n v="2014"/>
    <x v="2"/>
    <x v="3"/>
    <x v="3"/>
    <n v="10260"/>
    <n v="440"/>
  </r>
  <r>
    <n v="2010"/>
    <x v="0"/>
    <x v="4"/>
    <x v="3"/>
    <n v="10261"/>
    <n v="1504"/>
  </r>
  <r>
    <n v="2017"/>
    <x v="1"/>
    <x v="1"/>
    <x v="4"/>
    <n v="10262"/>
    <n v="3972"/>
  </r>
  <r>
    <n v="2014"/>
    <x v="2"/>
    <x v="3"/>
    <x v="4"/>
    <n v="10263"/>
    <n v="758"/>
  </r>
  <r>
    <n v="2011"/>
    <x v="2"/>
    <x v="5"/>
    <x v="5"/>
    <n v="10264"/>
    <n v="100"/>
  </r>
  <r>
    <n v="2018"/>
    <x v="0"/>
    <x v="6"/>
    <x v="5"/>
    <n v="10265"/>
    <n v="1863"/>
  </r>
  <r>
    <n v="2011"/>
    <x v="2"/>
    <x v="5"/>
    <x v="6"/>
    <n v="10266"/>
    <n v="1552"/>
  </r>
  <r>
    <n v="2017"/>
    <x v="1"/>
    <x v="1"/>
    <x v="7"/>
    <n v="10267"/>
    <n v="3951"/>
  </r>
  <r>
    <n v="2018"/>
    <x v="0"/>
    <x v="6"/>
    <x v="7"/>
    <n v="10268"/>
    <n v="2863"/>
  </r>
  <r>
    <n v="2012"/>
    <x v="0"/>
    <x v="0"/>
    <x v="7"/>
    <n v="10269"/>
    <n v="26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0118C-D4E6-46A1-AF28-3FDA1E48E219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11" firstHeaderRow="1" firstDataRow="1" firstDataCol="1"/>
  <pivotFields count="8">
    <pivotField showAll="0"/>
    <pivotField showAll="0"/>
    <pivotField axis="axisRow" showAll="0">
      <items count="8">
        <item x="4"/>
        <item x="0"/>
        <item x="3"/>
        <item x="5"/>
        <item x="2"/>
        <item x="1"/>
        <item x="6"/>
        <item t="default"/>
      </items>
    </pivotField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167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Total de la venta" fld="5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00617-D25F-432C-9C35-F25C65B54B02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7" firstHeaderRow="1" firstDataRow="1" firstDataCol="1"/>
  <pivotFields count="8"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167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Total de la venta" fld="5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8C963-CC45-48C7-B17C-41D897DC0A76}" name="TablaDiná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11" firstHeaderRow="1" firstDataRow="1" firstDataCol="1"/>
  <pivotFields count="8">
    <pivotField showAll="0"/>
    <pivotField showAll="0"/>
    <pivotField axis="axisRow" showAll="0">
      <items count="8">
        <item x="4"/>
        <item x="0"/>
        <item x="3"/>
        <item x="5"/>
        <item x="2"/>
        <item x="1"/>
        <item x="6"/>
        <item t="default"/>
      </items>
    </pivotField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167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Total de la venta" fld="5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0CED9E-7F5F-4B78-B7D8-4A09ED5D4796}" name="TablaDiná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15" firstHeaderRow="1" firstDataRow="1" firstDataCol="1"/>
  <pivotFields count="8">
    <pivotField showAll="0"/>
    <pivotField showAll="0"/>
    <pivotField showAll="0"/>
    <pivotField axis="axisRow"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167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10"/>
        <item x="11"/>
        <item x="12"/>
        <item sd="0" x="13"/>
        <item t="default"/>
      </items>
    </pivotField>
  </pivotFields>
  <rowFields count="3">
    <field x="7"/>
    <field x="6"/>
    <field x="3"/>
  </rowFields>
  <rowItems count="12">
    <i>
      <x v="10"/>
    </i>
    <i r="1">
      <x v="280"/>
    </i>
    <i r="1">
      <x v="286"/>
    </i>
    <i>
      <x v="11"/>
    </i>
    <i r="1">
      <x v="310"/>
    </i>
    <i r="1">
      <x v="311"/>
    </i>
    <i r="1">
      <x v="322"/>
    </i>
    <i r="1">
      <x v="323"/>
    </i>
    <i>
      <x v="12"/>
    </i>
    <i r="1">
      <x v="336"/>
    </i>
    <i r="1">
      <x v="337"/>
    </i>
    <i t="grand">
      <x/>
    </i>
  </rowItems>
  <colItems count="1">
    <i/>
  </colItems>
  <dataFields count="1">
    <dataField name="Suma de Total de la venta" fld="5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48140-85E9-49A1-A062-CD22DE029155}" name="Tabla1" displayName="Tabla1" ref="A1:F16" totalsRowShown="0">
  <autoFilter ref="A1:F16" xr:uid="{00048140-85E9-49A1-A062-CD22DE029155}"/>
  <tableColumns count="6">
    <tableColumn id="1" xr3:uid="{72D9CA6D-02CC-40CC-9CCD-BD88A05A35AA}" name="ID Vendedor"/>
    <tableColumn id="2" xr3:uid="{0D5A99F4-1365-4CD0-BF43-89953CA0A4AC}" name="Pais"/>
    <tableColumn id="3" xr3:uid="{36A4BB13-1C51-45A6-A3FD-819C8D954181}" name="Vendedor"/>
    <tableColumn id="4" xr3:uid="{D35CD1BF-E9E3-4363-830D-0B4AC4242259}" name="Fecha del pedido" dataDxfId="4"/>
    <tableColumn id="5" xr3:uid="{EE9510A9-279F-4E3E-9CD1-F46D026246F7}" name="Clave del pedido"/>
    <tableColumn id="6" xr3:uid="{3D1CD578-F23B-4FE5-910F-87CD535E5E55}" name="Total de la venta" dataDxfId="3" dataCellStyle="Moned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36E1-9759-4C06-AF17-5FFE32B02622}">
  <dimension ref="A1:F18"/>
  <sheetViews>
    <sheetView tabSelected="1" workbookViewId="0">
      <selection activeCell="D21" sqref="D21"/>
    </sheetView>
  </sheetViews>
  <sheetFormatPr baseColWidth="10" defaultRowHeight="15" x14ac:dyDescent="0.25"/>
  <cols>
    <col min="1" max="1" width="14.42578125" bestFit="1" customWidth="1"/>
    <col min="3" max="3" width="12" bestFit="1" customWidth="1"/>
    <col min="4" max="4" width="18.7109375" bestFit="1" customWidth="1"/>
    <col min="5" max="5" width="18.5703125" bestFit="1" customWidth="1"/>
    <col min="6" max="6" width="17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2012</v>
      </c>
      <c r="B2" t="s">
        <v>6</v>
      </c>
      <c r="C2" t="s">
        <v>7</v>
      </c>
      <c r="D2" s="1">
        <v>40457</v>
      </c>
      <c r="E2">
        <v>10253</v>
      </c>
      <c r="F2" s="2">
        <v>1444</v>
      </c>
    </row>
    <row r="3" spans="1:6" x14ac:dyDescent="0.25">
      <c r="A3">
        <v>2012</v>
      </c>
      <c r="B3" t="s">
        <v>6</v>
      </c>
      <c r="C3" t="s">
        <v>7</v>
      </c>
      <c r="D3" s="1">
        <v>40457</v>
      </c>
      <c r="E3">
        <v>10254</v>
      </c>
      <c r="F3" s="2">
        <v>556</v>
      </c>
    </row>
    <row r="4" spans="1:6" x14ac:dyDescent="0.25">
      <c r="A4">
        <v>2017</v>
      </c>
      <c r="B4" t="s">
        <v>8</v>
      </c>
      <c r="C4" t="s">
        <v>9</v>
      </c>
      <c r="D4" s="1">
        <v>40463</v>
      </c>
      <c r="E4">
        <v>10257</v>
      </c>
      <c r="F4" s="2">
        <v>3597</v>
      </c>
    </row>
    <row r="5" spans="1:6" x14ac:dyDescent="0.25">
      <c r="A5">
        <v>2016</v>
      </c>
      <c r="B5" t="s">
        <v>10</v>
      </c>
      <c r="C5" t="s">
        <v>11</v>
      </c>
      <c r="D5" s="1">
        <v>40463</v>
      </c>
      <c r="E5">
        <v>10258</v>
      </c>
      <c r="F5" s="2">
        <v>1119</v>
      </c>
    </row>
    <row r="6" spans="1:6" x14ac:dyDescent="0.25">
      <c r="A6">
        <v>2016</v>
      </c>
      <c r="B6" t="s">
        <v>10</v>
      </c>
      <c r="C6" t="s">
        <v>11</v>
      </c>
      <c r="D6" s="1">
        <v>40487</v>
      </c>
      <c r="E6">
        <v>10259</v>
      </c>
      <c r="F6" s="2">
        <v>2119</v>
      </c>
    </row>
    <row r="7" spans="1:6" x14ac:dyDescent="0.25">
      <c r="A7">
        <v>2014</v>
      </c>
      <c r="B7" t="s">
        <v>10</v>
      </c>
      <c r="C7" t="s">
        <v>12</v>
      </c>
      <c r="D7" s="1">
        <v>40488</v>
      </c>
      <c r="E7">
        <v>10260</v>
      </c>
      <c r="F7" s="2">
        <v>440</v>
      </c>
    </row>
    <row r="8" spans="1:6" x14ac:dyDescent="0.25">
      <c r="A8">
        <v>2010</v>
      </c>
      <c r="B8" t="s">
        <v>6</v>
      </c>
      <c r="C8" t="s">
        <v>13</v>
      </c>
      <c r="D8" s="1">
        <v>40488</v>
      </c>
      <c r="E8">
        <v>10261</v>
      </c>
      <c r="F8" s="2">
        <v>1504</v>
      </c>
    </row>
    <row r="9" spans="1:6" x14ac:dyDescent="0.25">
      <c r="A9">
        <v>2017</v>
      </c>
      <c r="B9" t="s">
        <v>8</v>
      </c>
      <c r="C9" t="s">
        <v>9</v>
      </c>
      <c r="D9" s="1">
        <v>40499</v>
      </c>
      <c r="E9">
        <v>10262</v>
      </c>
      <c r="F9" s="2">
        <v>3972</v>
      </c>
    </row>
    <row r="10" spans="1:6" x14ac:dyDescent="0.25">
      <c r="A10">
        <v>2014</v>
      </c>
      <c r="B10" t="s">
        <v>10</v>
      </c>
      <c r="C10" t="s">
        <v>12</v>
      </c>
      <c r="D10" s="1">
        <v>40499</v>
      </c>
      <c r="E10">
        <v>10263</v>
      </c>
      <c r="F10" s="2">
        <v>758</v>
      </c>
    </row>
    <row r="11" spans="1:6" x14ac:dyDescent="0.25">
      <c r="A11">
        <v>2011</v>
      </c>
      <c r="B11" t="s">
        <v>10</v>
      </c>
      <c r="C11" t="s">
        <v>14</v>
      </c>
      <c r="D11" s="1">
        <v>40500</v>
      </c>
      <c r="E11">
        <v>10264</v>
      </c>
      <c r="F11" s="2">
        <v>100</v>
      </c>
    </row>
    <row r="12" spans="1:6" x14ac:dyDescent="0.25">
      <c r="A12">
        <v>2018</v>
      </c>
      <c r="B12" t="s">
        <v>6</v>
      </c>
      <c r="C12" t="s">
        <v>15</v>
      </c>
      <c r="D12" s="1">
        <v>40500</v>
      </c>
      <c r="E12">
        <v>10265</v>
      </c>
      <c r="F12" s="2">
        <v>1863</v>
      </c>
    </row>
    <row r="13" spans="1:6" x14ac:dyDescent="0.25">
      <c r="A13">
        <v>2011</v>
      </c>
      <c r="B13" t="s">
        <v>10</v>
      </c>
      <c r="C13" t="s">
        <v>14</v>
      </c>
      <c r="D13" s="1">
        <v>40513</v>
      </c>
      <c r="E13">
        <v>10266</v>
      </c>
      <c r="F13" s="2">
        <v>1552</v>
      </c>
    </row>
    <row r="14" spans="1:6" x14ac:dyDescent="0.25">
      <c r="A14">
        <v>2017</v>
      </c>
      <c r="B14" t="s">
        <v>8</v>
      </c>
      <c r="C14" t="s">
        <v>9</v>
      </c>
      <c r="D14" s="1">
        <v>40514</v>
      </c>
      <c r="E14">
        <v>10267</v>
      </c>
      <c r="F14" s="2">
        <v>3951</v>
      </c>
    </row>
    <row r="15" spans="1:6" x14ac:dyDescent="0.25">
      <c r="A15">
        <v>2018</v>
      </c>
      <c r="B15" t="s">
        <v>6</v>
      </c>
      <c r="C15" t="s">
        <v>15</v>
      </c>
      <c r="D15" s="1">
        <v>40514</v>
      </c>
      <c r="E15">
        <v>10268</v>
      </c>
      <c r="F15" s="2">
        <v>2863</v>
      </c>
    </row>
    <row r="16" spans="1:6" x14ac:dyDescent="0.25">
      <c r="A16">
        <v>2012</v>
      </c>
      <c r="B16" t="s">
        <v>6</v>
      </c>
      <c r="C16" t="s">
        <v>7</v>
      </c>
      <c r="D16" s="1">
        <v>40514</v>
      </c>
      <c r="E16">
        <v>10269</v>
      </c>
      <c r="F16" s="2">
        <v>2658</v>
      </c>
    </row>
    <row r="18" spans="6:6" x14ac:dyDescent="0.25">
      <c r="F18" s="3">
        <f>SUM(F2:F16)</f>
        <v>28496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5D0F-D7B8-4D7F-84CD-6B637663472E}">
  <dimension ref="A1:C11"/>
  <sheetViews>
    <sheetView workbookViewId="0">
      <selection sqref="A1:C1"/>
    </sheetView>
  </sheetViews>
  <sheetFormatPr baseColWidth="10" defaultRowHeight="15" x14ac:dyDescent="0.25"/>
  <cols>
    <col min="1" max="1" width="17.85546875" bestFit="1" customWidth="1"/>
    <col min="2" max="2" width="24" bestFit="1" customWidth="1"/>
  </cols>
  <sheetData>
    <row r="1" spans="1:3" x14ac:dyDescent="0.25">
      <c r="A1" s="6" t="s">
        <v>19</v>
      </c>
      <c r="B1" s="6"/>
      <c r="C1" s="6"/>
    </row>
    <row r="3" spans="1:3" x14ac:dyDescent="0.25">
      <c r="A3" s="4" t="s">
        <v>16</v>
      </c>
      <c r="B3" t="s">
        <v>18</v>
      </c>
    </row>
    <row r="4" spans="1:3" x14ac:dyDescent="0.25">
      <c r="A4" s="5" t="s">
        <v>13</v>
      </c>
      <c r="B4" s="3">
        <v>1504</v>
      </c>
    </row>
    <row r="5" spans="1:3" x14ac:dyDescent="0.25">
      <c r="A5" s="5" t="s">
        <v>7</v>
      </c>
      <c r="B5" s="3">
        <v>4658</v>
      </c>
    </row>
    <row r="6" spans="1:3" x14ac:dyDescent="0.25">
      <c r="A6" s="5" t="s">
        <v>12</v>
      </c>
      <c r="B6" s="3">
        <v>1198</v>
      </c>
    </row>
    <row r="7" spans="1:3" x14ac:dyDescent="0.25">
      <c r="A7" s="5" t="s">
        <v>14</v>
      </c>
      <c r="B7" s="3">
        <v>1652</v>
      </c>
    </row>
    <row r="8" spans="1:3" x14ac:dyDescent="0.25">
      <c r="A8" s="5" t="s">
        <v>11</v>
      </c>
      <c r="B8" s="3">
        <v>3238</v>
      </c>
    </row>
    <row r="9" spans="1:3" x14ac:dyDescent="0.25">
      <c r="A9" s="5" t="s">
        <v>9</v>
      </c>
      <c r="B9" s="3">
        <v>11520</v>
      </c>
    </row>
    <row r="10" spans="1:3" x14ac:dyDescent="0.25">
      <c r="A10" s="5" t="s">
        <v>15</v>
      </c>
      <c r="B10" s="3">
        <v>4726</v>
      </c>
    </row>
    <row r="11" spans="1:3" x14ac:dyDescent="0.25">
      <c r="A11" s="5" t="s">
        <v>17</v>
      </c>
      <c r="B11" s="3">
        <v>28496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CF3A-D65D-4E69-B122-032C8D6D3C88}">
  <dimension ref="A1:B7"/>
  <sheetViews>
    <sheetView workbookViewId="0">
      <selection sqref="A1:B1"/>
    </sheetView>
  </sheetViews>
  <sheetFormatPr baseColWidth="10" defaultRowHeight="15" x14ac:dyDescent="0.25"/>
  <cols>
    <col min="1" max="1" width="17.85546875" bestFit="1" customWidth="1"/>
    <col min="2" max="2" width="24" bestFit="1" customWidth="1"/>
  </cols>
  <sheetData>
    <row r="1" spans="1:2" x14ac:dyDescent="0.25">
      <c r="A1" s="6" t="s">
        <v>20</v>
      </c>
      <c r="B1" s="6"/>
    </row>
    <row r="3" spans="1:2" x14ac:dyDescent="0.25">
      <c r="A3" s="4" t="s">
        <v>16</v>
      </c>
      <c r="B3" t="s">
        <v>18</v>
      </c>
    </row>
    <row r="4" spans="1:2" x14ac:dyDescent="0.25">
      <c r="A4" s="5" t="s">
        <v>6</v>
      </c>
      <c r="B4" s="3">
        <v>10888</v>
      </c>
    </row>
    <row r="5" spans="1:2" x14ac:dyDescent="0.25">
      <c r="A5" s="5" t="s">
        <v>8</v>
      </c>
      <c r="B5" s="3">
        <v>11520</v>
      </c>
    </row>
    <row r="6" spans="1:2" x14ac:dyDescent="0.25">
      <c r="A6" s="5" t="s">
        <v>10</v>
      </c>
      <c r="B6" s="3">
        <v>6088</v>
      </c>
    </row>
    <row r="7" spans="1:2" x14ac:dyDescent="0.25">
      <c r="A7" s="5" t="s">
        <v>17</v>
      </c>
      <c r="B7" s="3">
        <v>28496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B311E-417C-46C8-A768-8A60830E653E}">
  <dimension ref="A1:B11"/>
  <sheetViews>
    <sheetView workbookViewId="0">
      <selection activeCell="F9" sqref="F9"/>
    </sheetView>
  </sheetViews>
  <sheetFormatPr baseColWidth="10" defaultRowHeight="15" x14ac:dyDescent="0.25"/>
  <cols>
    <col min="1" max="1" width="17.85546875" bestFit="1" customWidth="1"/>
    <col min="2" max="2" width="24" bestFit="1" customWidth="1"/>
  </cols>
  <sheetData>
    <row r="1" spans="1:2" x14ac:dyDescent="0.25">
      <c r="A1" s="6" t="s">
        <v>21</v>
      </c>
      <c r="B1" s="6"/>
    </row>
    <row r="3" spans="1:2" x14ac:dyDescent="0.25">
      <c r="A3" s="4" t="s">
        <v>16</v>
      </c>
      <c r="B3" t="s">
        <v>18</v>
      </c>
    </row>
    <row r="4" spans="1:2" x14ac:dyDescent="0.25">
      <c r="A4" s="5" t="s">
        <v>13</v>
      </c>
      <c r="B4" s="3">
        <v>1504</v>
      </c>
    </row>
    <row r="5" spans="1:2" x14ac:dyDescent="0.25">
      <c r="A5" s="5" t="s">
        <v>7</v>
      </c>
      <c r="B5" s="3">
        <v>4658</v>
      </c>
    </row>
    <row r="6" spans="1:2" x14ac:dyDescent="0.25">
      <c r="A6" s="5" t="s">
        <v>12</v>
      </c>
      <c r="B6" s="3">
        <v>1198</v>
      </c>
    </row>
    <row r="7" spans="1:2" x14ac:dyDescent="0.25">
      <c r="A7" s="5" t="s">
        <v>14</v>
      </c>
      <c r="B7" s="3">
        <v>1652</v>
      </c>
    </row>
    <row r="8" spans="1:2" x14ac:dyDescent="0.25">
      <c r="A8" s="5" t="s">
        <v>11</v>
      </c>
      <c r="B8" s="3">
        <v>3238</v>
      </c>
    </row>
    <row r="9" spans="1:2" x14ac:dyDescent="0.25">
      <c r="A9" s="5" t="s">
        <v>9</v>
      </c>
      <c r="B9" s="3">
        <v>11520</v>
      </c>
    </row>
    <row r="10" spans="1:2" x14ac:dyDescent="0.25">
      <c r="A10" s="5" t="s">
        <v>15</v>
      </c>
      <c r="B10" s="3">
        <v>4726</v>
      </c>
    </row>
    <row r="11" spans="1:2" x14ac:dyDescent="0.25">
      <c r="A11" s="5" t="s">
        <v>17</v>
      </c>
      <c r="B11" s="3">
        <v>28496</v>
      </c>
    </row>
  </sheetData>
  <mergeCells count="1">
    <mergeCell ref="A1:B1"/>
  </mergeCells>
  <conditionalFormatting sqref="A3:B10">
    <cfRule type="top10" dxfId="2" priority="1" rank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43E5-4F72-4E0A-9070-E21FE33F4D16}">
  <dimension ref="A1:B15"/>
  <sheetViews>
    <sheetView workbookViewId="0">
      <selection activeCell="C3" sqref="C3"/>
    </sheetView>
  </sheetViews>
  <sheetFormatPr baseColWidth="10" defaultRowHeight="15" x14ac:dyDescent="0.25"/>
  <cols>
    <col min="1" max="1" width="17.85546875" bestFit="1" customWidth="1"/>
    <col min="2" max="2" width="24" bestFit="1" customWidth="1"/>
  </cols>
  <sheetData>
    <row r="1" spans="1:2" x14ac:dyDescent="0.25">
      <c r="A1" s="6" t="s">
        <v>33</v>
      </c>
      <c r="B1" s="6"/>
    </row>
    <row r="3" spans="1:2" x14ac:dyDescent="0.25">
      <c r="A3" s="4" t="s">
        <v>16</v>
      </c>
      <c r="B3" t="s">
        <v>18</v>
      </c>
    </row>
    <row r="4" spans="1:2" x14ac:dyDescent="0.25">
      <c r="A4" s="5" t="s">
        <v>22</v>
      </c>
      <c r="B4" s="3">
        <v>6716</v>
      </c>
    </row>
    <row r="5" spans="1:2" x14ac:dyDescent="0.25">
      <c r="A5" s="7" t="s">
        <v>25</v>
      </c>
      <c r="B5" s="3">
        <v>2000</v>
      </c>
    </row>
    <row r="6" spans="1:2" x14ac:dyDescent="0.25">
      <c r="A6" s="7" t="s">
        <v>26</v>
      </c>
      <c r="B6" s="3">
        <v>4716</v>
      </c>
    </row>
    <row r="7" spans="1:2" x14ac:dyDescent="0.25">
      <c r="A7" s="5" t="s">
        <v>23</v>
      </c>
      <c r="B7" s="3">
        <v>10756</v>
      </c>
    </row>
    <row r="8" spans="1:2" x14ac:dyDescent="0.25">
      <c r="A8" s="7" t="s">
        <v>27</v>
      </c>
      <c r="B8" s="3">
        <v>2119</v>
      </c>
    </row>
    <row r="9" spans="1:2" x14ac:dyDescent="0.25">
      <c r="A9" s="7" t="s">
        <v>28</v>
      </c>
      <c r="B9" s="3">
        <v>1944</v>
      </c>
    </row>
    <row r="10" spans="1:2" x14ac:dyDescent="0.25">
      <c r="A10" s="7" t="s">
        <v>29</v>
      </c>
      <c r="B10" s="3">
        <v>4730</v>
      </c>
    </row>
    <row r="11" spans="1:2" x14ac:dyDescent="0.25">
      <c r="A11" s="7" t="s">
        <v>30</v>
      </c>
      <c r="B11" s="3">
        <v>1963</v>
      </c>
    </row>
    <row r="12" spans="1:2" x14ac:dyDescent="0.25">
      <c r="A12" s="5" t="s">
        <v>24</v>
      </c>
      <c r="B12" s="3">
        <v>11024</v>
      </c>
    </row>
    <row r="13" spans="1:2" x14ac:dyDescent="0.25">
      <c r="A13" s="7" t="s">
        <v>31</v>
      </c>
      <c r="B13" s="3">
        <v>1552</v>
      </c>
    </row>
    <row r="14" spans="1:2" x14ac:dyDescent="0.25">
      <c r="A14" s="7" t="s">
        <v>32</v>
      </c>
      <c r="B14" s="3">
        <v>9472</v>
      </c>
    </row>
    <row r="15" spans="1:2" x14ac:dyDescent="0.25">
      <c r="A15" s="5" t="s">
        <v>17</v>
      </c>
      <c r="B15" s="3">
        <v>28496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</vt:lpstr>
      <vt:lpstr>(a)</vt:lpstr>
      <vt:lpstr>(b)</vt:lpstr>
      <vt:lpstr>(c)</vt:lpstr>
      <vt:lpstr>(d)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ORTIZ MEZA</dc:creator>
  <cp:lastModifiedBy>RICARDO ORTIZ MEZA</cp:lastModifiedBy>
  <dcterms:created xsi:type="dcterms:W3CDTF">2025-04-29T23:45:04Z</dcterms:created>
  <dcterms:modified xsi:type="dcterms:W3CDTF">2025-04-29T23:52:19Z</dcterms:modified>
</cp:coreProperties>
</file>